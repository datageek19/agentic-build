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onsumption Model" sheetId="2" state="visible" r:id="rId4"/>
    <sheet name="Line Review" sheetId="3" state="visible" r:id="rId5"/>
    <sheet name="Missing Services" sheetId="4" state="visible" r:id="rId6"/>
    <sheet name="Scenarios" sheetId="5" state="visible" r:id="rId7"/>
    <sheet name="Open Questio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<sst xmlns="http://schemas.openxmlformats.org/spreadsheetml/2006/main" count="367" uniqueCount="320">
  <si>
    <t xml:space="preserve">COST ESTIMATE REVIEW  -  Payment Resolution Agentic Workflow  (EPIC 3 email + EPIC 4 FootPrints)</t>
  </si>
  <si>
    <t xml:space="preserve">#</t>
  </si>
  <si>
    <t xml:space="preserve">FINDING</t>
  </si>
  <si>
    <t xml:space="preserve">MONTHLY IMPACT</t>
  </si>
  <si>
    <t xml:space="preserve">WHAT TO DO</t>
  </si>
  <si>
    <t xml:space="preserve">Agentic consumption is under-modelled by roughly an order of magnitude</t>
  </si>
  <si>
    <t xml:space="preserve">The model line assumes ~2 inference calls per agent session (54,000 requests / 27,000 sessions), a flat 4,000 input tokens per call, and no multi-invoice fan-out. A ReAct loop with 8 tool calls needs ~9 inference calls, and the context grows on every turn because the system prompt and 15 tool schemas are resent each time. Rebuild from the Consumption Model sheet.</t>
  </si>
  <si>
    <t xml:space="preserve">The model is never named, and the implied choice is the most expensive one</t>
  </si>
  <si>
    <t xml:space="preserve">structural</t>
  </si>
  <si>
    <t xml:space="preserve">Reverse-engineering the configuration ($5/$25 per million against 216M in / 43.2M out = exactly $2,160) shows the estimate is priced on Claude Opus 4.8. Nothing in the requirements calls for a frontier model to run a binary intent gate. Splitting the two agents by capability is the single cheapest correction available.</t>
  </si>
  <si>
    <t xml:space="preserve">Bedrock Guardrails is mandated but entirely absent</t>
  </si>
  <si>
    <t xml:space="preserve">Item #2 on the AWS service list is 'Yes' for both epics and both architecture versions. More important than the omission is the placement decision: screening every agent turn instead of just the supplier boundary costs 10-20x more and adds no control where it matters.</t>
  </si>
  <si>
    <t xml:space="preserve">NAT Gateway priced at zero with five gateways configured</t>
  </si>
  <si>
    <t xml:space="preserve">The largest arithmetic error in the sheet. NAT gateways bill hourly plus per-GB regardless of traffic. Five gateways would be roughly $164/month before data processing. Confirm the real AZ topology - two is the more likely design.</t>
  </si>
  <si>
    <t xml:space="preserve">PrivateLink interface endpoints missing entirely</t>
  </si>
  <si>
    <t xml:space="preserve">The architecture specifies VPC endpoints and controlled egress, and the service list confirms them at #27. Twelve endpoints across three AZs exceeds every line in the current estimate except model inference and CloudWatch.</t>
  </si>
  <si>
    <t xml:space="preserve">The cost estimate and the service list describe two different architectures</t>
  </si>
  <si>
    <t xml:space="preserve">The estimate prices the AgentCore managed path (Runtime, Gateway, Memory, Identity, Code Interpreter). The service list marks ECS Cluster, Fargate for MCP, and Fargate for a custom orchestrator as 'Yes' for both epics. These are alternatives, not complements. Resolve before any figure is trustworthy - it changes the compute model entirely.</t>
  </si>
  <si>
    <t xml:space="preserve">Four lines should be removed outright</t>
  </si>
  <si>
    <t xml:space="preserve">AgentCore Identity (free via Runtime/Gateway), AgentCore Code Interpreter (nothing executes generated code), DynamoDB (not in the architecture; Aurora is the authoritative store), and Gateway Load Balancer (not on the service list; no inspection appliance in the design).</t>
  </si>
  <si>
    <t xml:space="preserve">CloudWatch contains a mis-selection and is understated</t>
  </si>
  <si>
    <t xml:space="preserve">The configuration includes mobile OTEL events and a mobile sampling rate. There is no mobile application in this architecture. Separately, 1 GB per log category cannot cover 30 Lambdas, agent traces and VPC flow logs. AgentCore Observability also bills through CloudWatch, so that $0.85 line double-counts a cost that belongs here.</t>
  </si>
  <si>
    <t xml:space="preserve">Aurora sized at the floor with no HA</t>
  </si>
  <si>
    <t xml:space="preserve">1 ACU, single instance, 10 GB. This is the authoritative case, evidence and audit store for roughly 324,000 cases in year one. Model 2-4 ACU, a second instance, and a storage growth curve.</t>
  </si>
  <si>
    <t xml:space="preserve">No volume basis exists anywhere</t>
  </si>
  <si>
    <t xml:space="preserve">The 27,000 sessions, 200,000 Lambda requests, 10,000 Textract pages and 26,000 workflows are not traceable to any stated email or ticket volume. Stage 1 decision 6 deferred NFRs, which is exactly where volume would have been captured. Every figure in both sheets rests on this gap.</t>
  </si>
  <si>
    <t xml:space="preserve">BOTTOM LINE</t>
  </si>
  <si>
    <t xml:space="preserve">Current estimate, 12 months</t>
  </si>
  <si>
    <t xml:space="preserve">Reviewed BASE case, 12 months</t>
  </si>
  <si>
    <t xml:space="preserve">Reviewed range, 12 months (low to high)</t>
  </si>
  <si>
    <t xml:space="preserve">Rate verification: AgentCore Runtime $0.0895/vCPU-hour and $0.00945/GB-hour, and the Bedrock Claude rates used here, were checked against published pricing in September 2026. AWS rates change; re-verify in the AWS Pricing Calculator before this goes to the client. Indicative figures for services with no usage configuration are order-of-magnitude placeholders intended to show materiality, not quotes.</t>
  </si>
  <si>
    <t xml:space="preserve">AGENTIC CONSUMPTION MODEL  -  two agents, session and token build-up</t>
  </si>
  <si>
    <t xml:space="preserve">BLUE cells are inputs you can change. Black cells are formulas. Every downstream sheet recalculates from here.</t>
  </si>
  <si>
    <t xml:space="preserve">1.  VOLUME DRIVERS</t>
  </si>
  <si>
    <t xml:space="preserve">BASIS  /  WHY THIS MATTERS</t>
  </si>
  <si>
    <t xml:space="preserve">Inbound supplier emails per month (EPIC 3)</t>
  </si>
  <si>
    <t xml:space="preserve">NOT DOCUMENTED ANYWHERE. Stage 1 decision 6 deferred all NFRs, so no volume baseline exists. This figure is reverse-engineered to reconcile with the 27,000 sessions in the current estimate.</t>
  </si>
  <si>
    <t xml:space="preserve">FootPrints PO-mismatch tickets per month (EPIC 4)</t>
  </si>
  <si>
    <t xml:space="preserve">NOT DOCUMENTED. FR16 states this queue is already classified, so these tickets skip the classification agent.</t>
  </si>
  <si>
    <t xml:space="preserve">Share of emails in scope after classification</t>
  </si>
  <si>
    <t xml:space="preserve">FR7 intent gate. Out-of-scope mail is discarded and consumes one classification call only.</t>
  </si>
  <si>
    <t xml:space="preserve">Investigation subjects per case (multi-invoice fan-out)</t>
  </si>
  <si>
    <t xml:space="preserve">One email can name several invoices. Stage 4 fan-out point. If each subject is its own agent session this multiplies every agent cost line. The current estimate has no fan-out factor at all.</t>
  </si>
  <si>
    <t xml:space="preserve">2.  SESSION MODEL  -  the two agents have different cost shapes</t>
  </si>
  <si>
    <t xml:space="preserve">Sessions / month</t>
  </si>
  <si>
    <t xml:space="preserve">BASIS</t>
  </si>
  <si>
    <t xml:space="preserve">Email Classification Agent sessions</t>
  </si>
  <si>
    <t xml:space="preserve">One per inbound email. Single model call, small context, no tool calls. FootPrints tickets do NOT run this agent (FR16).</t>
  </si>
  <si>
    <t xml:space="preserve">Payment Investigation Agent sessions</t>
  </si>
  <si>
    <t xml:space="preserve">Multi-turn ReAct loop with tool calls and accumulating context. This is where virtually all model spend sits.</t>
  </si>
  <si>
    <t xml:space="preserve">TOTAL agent sessions per month</t>
  </si>
  <si>
    <t xml:space="preserve">Compare with the 27,000 used in every AgentCore line of the current estimate.</t>
  </si>
  <si>
    <t xml:space="preserve">Sessions assumed in the current estimate</t>
  </si>
  <si>
    <t xml:space="preserve">The current estimate applies one blended 27,000 to Runtime, Gateway, Identity, Memory and Code Interpreter. Blending a 15-second classification call with a 4-minute investigation loop distorts both.</t>
  </si>
  <si>
    <t xml:space="preserve">3.  TOKEN BUILD-UP PER SESSION  -  the line the current estimate gets most wrong</t>
  </si>
  <si>
    <t xml:space="preserve">Tool invocations per investigation session</t>
  </si>
  <si>
    <t xml:space="preserve">Taken from the current estimate's own AgentCore Gateway configuration.</t>
  </si>
  <si>
    <t xml:space="preserve">Model calls per investigation session</t>
  </si>
  <si>
    <t xml:space="preserve">Equals tool invocations + 1. Each tool result must be returned to the model to decide the next step. The current estimate implies only 2 model calls per session (54,000 requests / 27,000 sessions).</t>
  </si>
  <si>
    <t xml:space="preserve">System prompt + 15 tool schemas (tokens)</t>
  </si>
  <si>
    <t xml:space="preserve">RESENT ON EVERY CALL. With 15 tools defined, schemas alone are a large fixed cost per turn. This is the mechanism behind agentic token amplification.</t>
  </si>
  <si>
    <t xml:space="preserve">Case context tokens</t>
  </si>
  <si>
    <t xml:space="preserve">Case, subject, thread and prior-evidence summary carried into the loop.</t>
  </si>
  <si>
    <t xml:space="preserve">Evidence tokens added per turn</t>
  </si>
  <si>
    <t xml:space="preserve">Each tool result (Ariba invoice, IR object, PO lines, receipt lines) accumulates in the context window.</t>
  </si>
  <si>
    <t xml:space="preserve">Output tokens per tool-selection turn</t>
  </si>
  <si>
    <t xml:space="preserve">Short structured tool-call output.</t>
  </si>
  <si>
    <t xml:space="preserve">Output tokens on the final drafting turn</t>
  </si>
  <si>
    <t xml:space="preserve">Evidence-grounded draft plus claim map (FR13).</t>
  </si>
  <si>
    <t xml:space="preserve">Classification input tokens per call</t>
  </si>
  <si>
    <t xml:space="preserve">Subject, body, prior thread, extracted attachment text.</t>
  </si>
  <si>
    <t xml:space="preserve">Classification output tokens per call</t>
  </si>
  <si>
    <t xml:space="preserve">Structured classification verdict only.</t>
  </si>
  <si>
    <t xml:space="preserve">4.  MONTHLY TOKEN VOLUME</t>
  </si>
  <si>
    <t xml:space="preserve">Average input tokens per investigation model call</t>
  </si>
  <si>
    <t xml:space="preserve">Fixed prompt plus half the accumulated evidence, averaged across the loop. Turn 1 is smaller, the final turn is much larger. The current estimate uses a flat 4,000 for every call.</t>
  </si>
  <si>
    <t xml:space="preserve">Investigation input tokens per month</t>
  </si>
  <si>
    <t xml:space="preserve">Investigation output tokens per month</t>
  </si>
  <si>
    <t xml:space="preserve">Classification input tokens per month</t>
  </si>
  <si>
    <t xml:space="preserve">Classification output tokens per month</t>
  </si>
  <si>
    <t xml:space="preserve">TOTAL input tokens per month</t>
  </si>
  <si>
    <t xml:space="preserve">TOTAL output tokens per month</t>
  </si>
  <si>
    <t xml:space="preserve">Input tokens implied by the CURRENT estimate</t>
  </si>
  <si>
    <t xml:space="preserve">3 requests/min x 60 x 10 hours x 30 days = 54,000 requests, at 4,000 input tokens each.</t>
  </si>
  <si>
    <t xml:space="preserve">Output tokens implied by the CURRENT estimate</t>
  </si>
  <si>
    <t xml:space="preserve">UNDERSTATEMENT FACTOR on input tokens</t>
  </si>
  <si>
    <t xml:space="preserve">Independent sources put single-agent token amplification at roughly 4x a plain chat call, before fan-out. The gap here comes from three compounding factors: too few model calls per session, no growth in context across turns, and no fan-out.</t>
  </si>
  <si>
    <t xml:space="preserve">5.  MODEL RATE CARD  (Bedrock on-demand, USD per 1M tokens, verified Sept 2026)</t>
  </si>
  <si>
    <t xml:space="preserve">Model</t>
  </si>
  <si>
    <t xml:space="preserve">Input $/1M</t>
  </si>
  <si>
    <t xml:space="preserve">Output $/1M</t>
  </si>
  <si>
    <t xml:space="preserve">NOTE</t>
  </si>
  <si>
    <t xml:space="preserve">Claude Opus 4.8</t>
  </si>
  <si>
    <t xml:space="preserve">WHAT THE CURRENT ESTIMATE USES. 216M x $5 + 43.2M x $25 = $2,160 exactly. The model choice is nowhere stated in the sheet.</t>
  </si>
  <si>
    <t xml:space="preserve">Claude Sonnet 5</t>
  </si>
  <si>
    <t xml:space="preserve">Standard rate. The Global launch rate of $2/$10 expired 31 Aug 2026.</t>
  </si>
  <si>
    <t xml:space="preserve">Claude Haiku 4.5</t>
  </si>
  <si>
    <t xml:space="preserve">Appropriate for the classification agent, which is a structured routing decision, not reasoning.</t>
  </si>
  <si>
    <t xml:space="preserve">6.  MONTHLY MODEL SPEND BY STRATEGY</t>
  </si>
  <si>
    <t xml:space="preserve">Strategy</t>
  </si>
  <si>
    <t xml:space="preserve">Monthly $</t>
  </si>
  <si>
    <t xml:space="preserve">Annual $</t>
  </si>
  <si>
    <t xml:space="preserve">COMMENT</t>
  </si>
  <si>
    <t xml:space="preserve">A. Opus 4.8 for both agents (current assumption, corrected volume)</t>
  </si>
  <si>
    <t xml:space="preserve">Worst case. A frontier model runs the classification gate as well, which no requirement calls for.</t>
  </si>
  <si>
    <t xml:space="preserve">B. Sonnet 5 for both agents</t>
  </si>
  <si>
    <t xml:space="preserve">Reasonable default for evidence-grounded investigation.</t>
  </si>
  <si>
    <t xml:space="preserve">C. Haiku 4.5 classification + Sonnet 5 investigation  (RECOMMENDED)</t>
  </si>
  <si>
    <t xml:space="preserve">Matches model capability to task. Classification is a binary intent decision over a short context.</t>
  </si>
  <si>
    <t xml:space="preserve">   less: prompt caching on the fixed system prompt + tool schemas</t>
  </si>
  <si>
    <t xml:space="preserve">Cache reads bill at roughly 10% of the input rate. The 5,000-token fixed prefix is identical on every turn, so it is the highest-value caching target in the design. Excludes cache-write surcharge.</t>
  </si>
  <si>
    <t xml:space="preserve">RECOMMENDED NET MONTHLY MODEL SPEND</t>
  </si>
  <si>
    <t xml:space="preserve">Current estimate, model line (Anthropic)</t>
  </si>
  <si>
    <t xml:space="preserve">7.  BEDROCK GUARDRAILS  -  mandated by the service list, absent from the cost estimate</t>
  </si>
  <si>
    <t xml:space="preserve">Guardrails rate ($ per 1,000 text units, 1 unit = 1,000 characters)</t>
  </si>
  <si>
    <t xml:space="preserve">a) Applied to EVERY agent turn (naive placement)</t>
  </si>
  <si>
    <t xml:space="preserve">Assumes ~4 characters per token. Screening the full accumulated agent context on every turn costs more than most infrastructure lines combined. This is the single largest avoidable cost in the design.</t>
  </si>
  <si>
    <t xml:space="preserve">b) Applied at the boundary only: inbound email + outbound draft  (RECOMMENDED)</t>
  </si>
  <si>
    <t xml:space="preserve">Screens what enters from a supplier and what leaves to a supplier. Internal tool results are already trusted enterprise data, so screening them repeatedly adds cost without adding control.</t>
  </si>
  <si>
    <t xml:space="preserve">LINE-BY-LINE REVIEW OF THE CURRENT ESTIMATE  (27 line items, $2,722.43 / month)</t>
  </si>
  <si>
    <t xml:space="preserve">Service line</t>
  </si>
  <si>
    <t xml:space="preserve">Current
monthly $</t>
  </si>
  <si>
    <t xml:space="preserve">Finding</t>
  </si>
  <si>
    <t xml:space="preserve">Severity</t>
  </si>
  <si>
    <t xml:space="preserve">Corrected
monthly $</t>
  </si>
  <si>
    <t xml:space="preserve">Delta $</t>
  </si>
  <si>
    <t xml:space="preserve">Basis / action</t>
  </si>
  <si>
    <t xml:space="preserve">AgentCore Runtime</t>
  </si>
  <si>
    <t xml:space="preserve">Arithmetic is correct at $0.0895/vCPU-hr and $0.00945/GB-hr. But 120s average session and a single blended 27,000 sessions mix a 15-second classification call with a multi-turn investigation loop.</t>
  </si>
  <si>
    <t xml:space="preserve">MEDIUM</t>
  </si>
  <si>
    <t xml:space="preserve">Split the two agents. Model the investigation agent at ~240s with 2 vCPU / 2 GB. Consider running classification as a direct Bedrock Converse call from Lambda, which removes it from Runtime billing entirely.</t>
  </si>
  <si>
    <t xml:space="preserve">AgentCore Gateway</t>
  </si>
  <si>
    <t xml:space="preserve">Charged on all 27,000 sessions, but classification sessions make no tool calls. Slightly overstated. 15 tools defined vs 17 data pulls in the Stage 9 design.</t>
  </si>
  <si>
    <t xml:space="preserve">LOW</t>
  </si>
  <si>
    <t xml:space="preserve">Reconcile the tool count with the pull register. Immaterial either way.</t>
  </si>
  <si>
    <t xml:space="preserve">AgentCore Identity</t>
  </si>
  <si>
    <t xml:space="preserve">AWS states Identity carries no additional charge when used through Runtime or Gateway, which is exactly how this architecture uses it.</t>
  </si>
  <si>
    <t xml:space="preserve">REMOVE</t>
  </si>
  <si>
    <t xml:space="preserve">Delete the line unless a non-Runtime, non-Gateway call path exists. Verify on the AgentCore pricing page.</t>
  </si>
  <si>
    <t xml:space="preserve">AgentCore Code Interpreter</t>
  </si>
  <si>
    <t xml:space="preserve">Priced for all 27,000 sessions at 180s. Nothing in the architecture executes generated code - the deterministic comparison engine is Lambda-based.</t>
  </si>
  <si>
    <t xml:space="preserve">Delete unless a concrete use case exists. Its presence suggests the estimate was built by filling the calculator rather than from the architecture.</t>
  </si>
  <si>
    <t xml:space="preserve">AgentCore Memory</t>
  </si>
  <si>
    <t xml:space="preserve">Short-term only, applied to all 27,000 sessions. Only investigation sessions need working context. No long-term memory strategy is priced.</t>
  </si>
  <si>
    <t xml:space="preserve">Confirm that case continuity lives in Aurora (it does per the container diagram), so only short-term memory is needed. Each long-term strategy that extracts on every session adds write, storage and retrieval cost.</t>
  </si>
  <si>
    <t xml:space="preserve">AgentCore Observability</t>
  </si>
  <si>
    <t xml:space="preserve">AgentCore Observability bills through CloudWatch, not a standalone rate. 1 GB of logs and 1 GB of spans for 27,000 multi-turn agent sessions is far too low.</t>
  </si>
  <si>
    <t xml:space="preserve">HIGH</t>
  </si>
  <si>
    <t xml:space="preserve">Remove this line and fold realistic agent telemetry into the CloudWatch line. Expect 20-80 GB/month of traces and spans at this session volume.</t>
  </si>
  <si>
    <t xml:space="preserve">Anthropic (Bedrock model inference)</t>
  </si>
  <si>
    <t xml:space="preserve">THE DOMINANT LINE - 79% of the current total. Reverse-engineering the config gives 54,000 requests at 4,000 in / 800 out, priced at $5/$25, i.e. Claude Opus 4.8. The model is never named in the sheet. Three compounding understatements: ~2 model calls per session instead of ~9, flat context instead of accumulating, and no fan-out factor.</t>
  </si>
  <si>
    <t xml:space="preserve">CRITICAL</t>
  </si>
  <si>
    <t xml:space="preserve">See the Consumption Model sheet. Corrected figure links from there.</t>
  </si>
  <si>
    <t xml:space="preserve">AWS Lambda</t>
  </si>
  <si>
    <t xml:space="preserve">No memory size or duration is configured, and 200,000 requests is below the real figure - tool-container Lambdas alone are ~8 per investigation session.</t>
  </si>
  <si>
    <t xml:space="preserve">Re-model at ~400,000 invocations, 1 GB, 2-4s average (Ariba and S/4 calls are slow). Still small in absolute terms.</t>
  </si>
  <si>
    <t xml:space="preserve">Aurora PostgreSQL Serverless</t>
  </si>
  <si>
    <t xml:space="preserve">1 ACU is the floor and will not hold for case writes, evidence persistence, audit and reviewer-queue reads. No HA instance is priced. 10 GB storage is far too small - at this volume the estimate implies ~324,000 cases in year one, each with an evidence chain and Ariba snapshots.</t>
  </si>
  <si>
    <t xml:space="preserve">Model 2-4 ACU average with a second instance for HA, and a storage growth curve. This is the authoritative case, evidence and audit store per the container diagram.</t>
  </si>
  <si>
    <t xml:space="preserve">Amazon EventBridge</t>
  </si>
  <si>
    <t xml:space="preserve">Reasonable.</t>
  </si>
  <si>
    <t xml:space="preserve">OK</t>
  </si>
  <si>
    <t xml:space="preserve">No change.</t>
  </si>
  <si>
    <t xml:space="preserve">Amazon SQS</t>
  </si>
  <si>
    <t xml:space="preserve">DynamoDB on-demand</t>
  </si>
  <si>
    <t xml:space="preserve">Not in the AWS service requirement list and not in the container diagram, which names Aurora PostgreSQL as the authoritative store. Only storage is configured - no request volume.</t>
  </si>
  <si>
    <t xml:space="preserve">Remove, or document what it stores that Aurora does not. As configured it is a storage-only charge for a table nothing in the architecture writes to.</t>
  </si>
  <si>
    <t xml:space="preserve">S3 Standard</t>
  </si>
  <si>
    <t xml:space="preserve">100 GB and 50k PUT / 100k GET. Plausible for month one, but no lifecycle policy is modelled and the landing / clean / quarantine pattern means ~3 PUTs per attachment.</t>
  </si>
  <si>
    <t xml:space="preserve">Add a lifecycle policy and a 12-month growth curve for the audit prefix.</t>
  </si>
  <si>
    <t xml:space="preserve">Data Transfer</t>
  </si>
  <si>
    <t xml:space="preserve">Configured as 10 TB inbound from internet and zero outbound. Inbound is free so $0 is technically right, but 10 TB inbound is not a real figure for this workload and outbound to Ariba, S/4, FootPrints and Graph is zero-rated here.</t>
  </si>
  <si>
    <t xml:space="preserve">Egress to enterprise APIs flows through NAT or PrivateLink and carries per-GB processing charges. Model it there rather than as zero.</t>
  </si>
  <si>
    <t xml:space="preserve">Step Functions Standard</t>
  </si>
  <si>
    <t xml:space="preserve">26,000 workflows at 2 state transitions. The container diagram shows two Step Functions with far more than 2 states each (intake sequencing; validation, investigation, review, write-back, retries, closure).</t>
  </si>
  <si>
    <t xml:space="preserve">Re-model at 10-15 state transitions per workflow across both state machines.</t>
  </si>
  <si>
    <t xml:space="preserve">Amazon Textract</t>
  </si>
  <si>
    <t xml:space="preserve">$91 per 10,000 pages is $9.10 per 1,000, which does not match a single published API rate cleanly. 10,000 pages/month against 27,000 cases implies few cases have attachments, which is unlikely for invoice disputes.</t>
  </si>
  <si>
    <t xml:space="preserve">Confirm which API (DetectDocumentText vs AnalyzeDocument Forms/Tables - the rates differ by more than 30x) and re-base the page count on a real attachment rate.</t>
  </si>
  <si>
    <t xml:space="preserve">AWS Secrets Manager</t>
  </si>
  <si>
    <t xml:space="preserve">50 secrets is plausible for multi-system credentials.</t>
  </si>
  <si>
    <t xml:space="preserve">AWS Key Management Service</t>
  </si>
  <si>
    <t xml:space="preserve">10 CMKs + 2M requests. Arithmetic checks out.</t>
  </si>
  <si>
    <t xml:space="preserve">IAM Access Analyzer</t>
  </si>
  <si>
    <t xml:space="preserve">Legitimate, but not on the AWS service requirement list (which lists IAM only).</t>
  </si>
  <si>
    <t xml:space="preserve">Confirm it is in scope for this workload rather than a landing-zone charge.</t>
  </si>
  <si>
    <t xml:space="preserve">Amazon CloudWatch</t>
  </si>
  <si>
    <t xml:space="preserve">Largest infrastructure line and it contains a clear mis-selection: mobile OTEL events and a mobile sampling rate. There is no mobile application in this architecture. Separately, 1 GB per log category is far below what 30 Lambdas, agent traces and VPC flow logs will generate.</t>
  </si>
  <si>
    <t xml:space="preserve">Rebuild from scratch: remove mobile RUM, add AgentCore telemetry, size log ingestion at 50-150 GB/month.</t>
  </si>
  <si>
    <t xml:space="preserve">AWS CloudTrail</t>
  </si>
  <si>
    <t xml:space="preserve">Management + data events. Reasonable.</t>
  </si>
  <si>
    <t xml:space="preserve">VPN Connection</t>
  </si>
  <si>
    <t xml:space="preserve">Priced at zero with a working-days configuration and no subnet associations.</t>
  </si>
  <si>
    <t xml:space="preserve">Either remove or price properly. A configured-but-zero line hides a decision.</t>
  </si>
  <si>
    <t xml:space="preserve">Public IPv4 Address</t>
  </si>
  <si>
    <t xml:space="preserve">Zero with no configuration.</t>
  </si>
  <si>
    <t xml:space="preserve">Remove, or price at $0.005/hr per address if any public IPs exist.</t>
  </si>
  <si>
    <t xml:space="preserve">NAT Gateway</t>
  </si>
  <si>
    <t xml:space="preserve">FIVE regional NAT gateways across 3 AZs are configured and the line is priced at ZERO. NAT gateways carry an hourly charge plus per-GB data processing regardless of traffic.</t>
  </si>
  <si>
    <t xml:space="preserve">LARGEST ARITHMETIC ERROR IN THE SHEET. At ~$0.045/hr, 5 gateways is ~$164/month before data processing. Corrected figure here assumes 2 gateways, which is the more likely real design. Confirm the AZ topology.</t>
  </si>
  <si>
    <t xml:space="preserve">Gateway Load Balancer</t>
  </si>
  <si>
    <t xml:space="preserve">Not on the service requirement list, which specifies an internal Application Load Balancer. GWLB exists to steer traffic to third-party inspection appliances, which nothing in the architecture describes.</t>
  </si>
  <si>
    <t xml:space="preserve">Remove unless a security appliance is genuinely in the path.</t>
  </si>
  <si>
    <t xml:space="preserve">SNS Standard topics</t>
  </si>
  <si>
    <t xml:space="preserve">Configured at 1 million requests AND 1 million notifications of each delivery type. At 27,000 cases/month that is roughly 40x the plausible volume. The 1M email notifications alone account for most of the $20.</t>
  </si>
  <si>
    <t xml:space="preserve">Re-base on actual notification events: reviewer queue alerts and failure notifications.</t>
  </si>
  <si>
    <t xml:space="preserve">Application Load Balancer</t>
  </si>
  <si>
    <t xml:space="preserve">One ALB, hourly plus LCU. Reasonable.</t>
  </si>
  <si>
    <t xml:space="preserve">SUBTOTAL  -  reviewed lines</t>
  </si>
  <si>
    <t xml:space="preserve">SUBTOTAL excluding model inference  (infrastructure only)</t>
  </si>
  <si>
    <t xml:space="preserve">Used by the Scenarios sheet, which prices model inference separately so that model choice can be varied without disturbing the infrastructure lines.</t>
  </si>
  <si>
    <t xml:space="preserve">SERVICES ON THE AWS REQUIREMENT LIST THAT ARE ABSENT FROM THE COST ESTIMATE</t>
  </si>
  <si>
    <t xml:space="preserve">Service</t>
  </si>
  <si>
    <t xml:space="preserve">Req. list ref</t>
  </si>
  <si>
    <t xml:space="preserve">Why it is needed here</t>
  </si>
  <si>
    <t xml:space="preserve">Monthly $
(indicative)</t>
  </si>
  <si>
    <t xml:space="preserve">Confidence</t>
  </si>
  <si>
    <t xml:space="preserve">Note</t>
  </si>
  <si>
    <t xml:space="preserve">Amazon Bedrock Guardrails</t>
  </si>
  <si>
    <t xml:space="preserve">#2</t>
  </si>
  <si>
    <t xml:space="preserve">Mandated 'Yes' for both epics in both architecture versions. Entirely absent from the cost estimate.</t>
  </si>
  <si>
    <t xml:space="preserve">Links to the Consumption Model boundary-placement figure. Naive placement (screening every agent turn) would cost over 10x this. See Consumption Model section 7 - this is a design decision, not just a line item.</t>
  </si>
  <si>
    <t xml:space="preserve">Amazon ECS Cluster + Fargate
(MCP + custom orchestrator)</t>
  </si>
  <si>
    <t xml:space="preserve">#4, #5, #6</t>
  </si>
  <si>
    <t xml:space="preserve">Arch V1 runs the MCP server and a custom orchestrator on Fargate. The cost estimate instead prices the AgentCore managed path. Both are marked 'Yes' in the requirement list.</t>
  </si>
  <si>
    <t xml:space="preserve">CONDITIONAL</t>
  </si>
  <si>
    <t xml:space="preserve">STRUCTURAL CONFLICT. The two documents describe two different architectures. If AgentCore Runtime + Gateway is the chosen path, remove ECS from the requirement list. If both run, both must be priced.</t>
  </si>
  <si>
    <t xml:space="preserve">Amazon ECR</t>
  </si>
  <si>
    <t xml:space="preserve">#7</t>
  </si>
  <si>
    <t xml:space="preserve">Container image storage for the ECS/Fargate path.</t>
  </si>
  <si>
    <t xml:space="preserve">Conditional on the same decision as above.</t>
  </si>
  <si>
    <t xml:space="preserve">GuardDuty Malware Protection for S3</t>
  </si>
  <si>
    <t xml:space="preserve">#14</t>
  </si>
  <si>
    <t xml:space="preserve">FR6 makes attachment scanning mandatory before any extracted content is used. The container diagram shows a scan event between the landing and clean prefixes.</t>
  </si>
  <si>
    <t xml:space="preserve">Billed per GB scanned plus per 1,000 objects. Not optional - it is a stated functional requirement.</t>
  </si>
  <si>
    <t xml:space="preserve">AWS PrivateLink interface VPC endpoints</t>
  </si>
  <si>
    <t xml:space="preserve">#27</t>
  </si>
  <si>
    <t xml:space="preserve">The architecture specifies VPC endpoints and controlled egress. Interface endpoints bill hourly per AZ plus per-GB data processing.</t>
  </si>
  <si>
    <t xml:space="preserve">Roughly 12 endpoints x 3 AZs. This is larger than all but two lines in the current estimate and is missing entirely. S3 gateway endpoints (#28) are free and correctly need no line.</t>
  </si>
  <si>
    <t xml:space="preserve">Amazon GuardDuty</t>
  </si>
  <si>
    <t xml:space="preserve">#24</t>
  </si>
  <si>
    <t xml:space="preserve">Threat detection across CloudTrail, VPC and DNS.</t>
  </si>
  <si>
    <t xml:space="preserve">May be centrally funded at Boeing. Flag as an allocation question rather than assuming either way.</t>
  </si>
  <si>
    <t xml:space="preserve">AWS Security Hub</t>
  </si>
  <si>
    <t xml:space="preserve">#23</t>
  </si>
  <si>
    <t xml:space="preserve">Posture management and findings aggregation.</t>
  </si>
  <si>
    <t xml:space="preserve">As above.</t>
  </si>
  <si>
    <t xml:space="preserve">AWS Config</t>
  </si>
  <si>
    <t xml:space="preserve">#22</t>
  </si>
  <si>
    <t xml:space="preserve">Configuration recording and compliance rules.</t>
  </si>
  <si>
    <t xml:space="preserve">Amazon Inspector</t>
  </si>
  <si>
    <t xml:space="preserve">#25</t>
  </si>
  <si>
    <t xml:space="preserve">Vulnerability scanning for container images and Lambda.</t>
  </si>
  <si>
    <t xml:space="preserve">AWS WAF</t>
  </si>
  <si>
    <t xml:space="preserve">#19</t>
  </si>
  <si>
    <t xml:space="preserve">Protection in front of the load balancer.</t>
  </si>
  <si>
    <t xml:space="preserve">AWS X-Ray</t>
  </si>
  <si>
    <t xml:space="preserve">#20</t>
  </si>
  <si>
    <t xml:space="preserve">Distributed tracing across Lambda, Step Functions and agent calls.</t>
  </si>
  <si>
    <t xml:space="preserve">Partially overlaps AgentCore telemetry - confirm there is no double instrumentation.</t>
  </si>
  <si>
    <t xml:space="preserve">VPC Flow Logs</t>
  </si>
  <si>
    <t xml:space="preserve">#30</t>
  </si>
  <si>
    <t xml:space="preserve">Network flow logging into CloudWatch or S3.</t>
  </si>
  <si>
    <t xml:space="preserve">Ingestion cost lands in CloudWatch, which is already understated.</t>
  </si>
  <si>
    <t xml:space="preserve">Amazon SES</t>
  </si>
  <si>
    <t xml:space="preserve">#31</t>
  </si>
  <si>
    <t xml:space="preserve">Listed 'Yes', but the Stage 2-8 design sends through the Outlook group mailbox via Graph.</t>
  </si>
  <si>
    <t xml:space="preserve">Reconcile: if all outbound email is the Outlook draft-and-reply path (FR3, FR14), SES may not be needed at all. Another inconsistency between the two documents.</t>
  </si>
  <si>
    <t xml:space="preserve">Amazon EC2</t>
  </si>
  <si>
    <t xml:space="preserve">#34</t>
  </si>
  <si>
    <t xml:space="preserve">Arch V2 substitutes EC2 for Fargate.</t>
  </si>
  <si>
    <t xml:space="preserve">Only if Arch V2 is selected. Mutually exclusive with the Fargate line above.</t>
  </si>
  <si>
    <t xml:space="preserve">SUBTOTAL  -  missing services</t>
  </si>
  <si>
    <t xml:space="preserve">SUBTOTAL excluding Bedrock Guardrails</t>
  </si>
  <si>
    <t xml:space="preserve">Used by the Scenarios sheet, which prices Guardrails separately so the placement decision can be varied.</t>
  </si>
  <si>
    <t xml:space="preserve">Indicative figures are order-of-magnitude placeholders for services with no usage configuration available. They exist to show that the omission is material, not to serve as a quote. Each needs sizing in the AWS Pricing Calculator against real telemetry, log and scanning volumes.</t>
  </si>
  <si>
    <t xml:space="preserve">SCENARIO RANGE  -  model choice, guardrail placement and caching dominate everything else</t>
  </si>
  <si>
    <t xml:space="preserve">Component</t>
  </si>
  <si>
    <t xml:space="preserve">LOW
(lean)</t>
  </si>
  <si>
    <t xml:space="preserve">BASE
(recommended)</t>
  </si>
  <si>
    <t xml:space="preserve">HIGH
(current assumptions, corrected volume)</t>
  </si>
  <si>
    <t xml:space="preserve">Driver</t>
  </si>
  <si>
    <t xml:space="preserve">Model inference</t>
  </si>
  <si>
    <t xml:space="preserve">LOW assumes Haiku for both agents with aggressive prompt caching. BASE is Haiku classification + Sonnet investigation with caching on the fixed prefix. HIGH is Opus for everything with no caching. This single choice moves the total by ~10x.</t>
  </si>
  <si>
    <t xml:space="preserve">Bedrock Guardrails</t>
  </si>
  <si>
    <t xml:space="preserve">Boundary placement (inbound email + outbound draft) versus screening every agent turn. A pure design decision with a 10-20x cost consequence and no impact on the control it provides at the supplier boundary.</t>
  </si>
  <si>
    <t xml:space="preserve">Reviewed infrastructure lines (corrected)</t>
  </si>
  <si>
    <t xml:space="preserve">From the Line Review sheet. HIGH assumes 5 NAT gateways as currently configured, larger Aurora and full CloudWatch log retention.</t>
  </si>
  <si>
    <t xml:space="preserve">Missing services</t>
  </si>
  <si>
    <t xml:space="preserve">LOW assumes the security baseline (GuardDuty, Security Hub, Config, Inspector, WAF) is centrally funded by Boeing and the ECS/Fargate path is dropped in favour of AgentCore.</t>
  </si>
  <si>
    <t xml:space="preserve">TOTAL MONTHLY</t>
  </si>
  <si>
    <t xml:space="preserve">TOTAL 12 MONTHS</t>
  </si>
  <si>
    <t xml:space="preserve">As submitted.</t>
  </si>
  <si>
    <t xml:space="preserve">Understatement factor</t>
  </si>
  <si>
    <t xml:space="preserve">Even the LOW scenario is not far below the submitted figure, and the BASE and HIGH cases are multiples of it.</t>
  </si>
  <si>
    <t xml:space="preserve">OPEN QUESTIONS THAT MUST BE ANSWERED BEFORE THIS ESTIMATE IS DEFENSIBLE</t>
  </si>
  <si>
    <t xml:space="preserve">Question</t>
  </si>
  <si>
    <t xml:space="preserve">Why it matters / what it moves</t>
  </si>
  <si>
    <t xml:space="preserve">What is the actual monthly volume of inbound supplier payment emails, and of FootPrints PO-mismatch tickets?</t>
  </si>
  <si>
    <t xml:space="preserve">Every line in both sheets scales from this. Nothing in the requirements, the scenario tabs or the architecture states it. Without it the estimate is a shape, not a number.</t>
  </si>
  <si>
    <t xml:space="preserve">AgentCore managed path, or ECS/Fargate with a custom orchestrator?</t>
  </si>
  <si>
    <t xml:space="preserve">The cost estimate prices one, the service list prices the other, and both are marked 'Yes'. This changes the compute model, the container registry requirement, the load balancer requirement and the operational model.</t>
  </si>
  <si>
    <t xml:space="preserve">Which Claude model for each agent?</t>
  </si>
  <si>
    <t xml:space="preserve">The estimate silently assumes Opus 4.8 for everything. Splitting Haiku for classification and Sonnet for investigation is the largest single saving available, and nothing in the requirements argues against it.</t>
  </si>
  <si>
    <t xml:space="preserve">Where are Bedrock Guardrails applied - every agent turn, or the supplier boundary only?</t>
  </si>
  <si>
    <t xml:space="preserve">A 10-20x cost difference on a line that is currently absent altogether. Boundary placement screens what a supplier sends in and what the system sends out, which is where the risk actually sits.</t>
  </si>
  <si>
    <t xml:space="preserve">Is prompt caching enabled on the system prompt and tool schemas?</t>
  </si>
  <si>
    <t xml:space="preserve">The 5,000-token fixed prefix is resent on every one of roughly nine turns per session. Caching it at ~10% of the input rate is the highest-value optimisation in the design and requires no functional change.</t>
  </si>
  <si>
    <t xml:space="preserve">Does each investigation subject get its own agent session, or does one session handle all invoices in an email?</t>
  </si>
  <si>
    <t xml:space="preserve">The Stage 4 fan-out point. A session-per-subject model multiplies every AgentCore and model line by the average invoice count per email. The current estimate has no fan-out factor at all.</t>
  </si>
  <si>
    <t xml:space="preserve">How many NAT gateways, in how many AZs, and how much egress to Ariba, S/4, FootPrints and Graph?</t>
  </si>
  <si>
    <t xml:space="preserve">Currently five gateways priced at zero, plus zero-rated outbound data transfer. Both are wrong and they compound.</t>
  </si>
  <si>
    <t xml:space="preserve">Are GuardDuty, Security Hub, Config, Inspector and WAF charged to this workload or to a central Boeing security account?</t>
  </si>
  <si>
    <t xml:space="preserve">Roughly $215/month of difference, and it is an allocation question rather than a technical one. Worth asking early so the number is not disputed late.</t>
  </si>
  <si>
    <t xml:space="preserve">Which Textract API, and what is the real attachment rate per case?</t>
  </si>
  <si>
    <t xml:space="preserve">DetectDocumentText and AnalyzeDocument Forms differ by more than 30x per page. The current $9.10 per 1,000 pages does not match either cleanly.</t>
  </si>
  <si>
    <t xml:space="preserve">What is the evidence retention period for the Aurora case store and the S3 audit prefix?</t>
  </si>
  <si>
    <t xml:space="preserve">FR2 and FR30 require the full evidence chain per case. At this volume, retention length drives Aurora storage, backup and S3 growth across the 12-month view - none of which is currently modelled as a curve.</t>
  </si>
  <si>
    <t xml:space="preserve">Is there a non-production environment?</t>
  </si>
  <si>
    <t xml:space="preserve">The estimate prices a single environment. DEV and TEST are normally 30-60% of production for this kind of stack, and the Stage 1-9 design assumes a CI/CD path across environments.</t>
  </si>
</sst>
</file>

<file path=xl/styles.xml><?xml version="1.0" encoding="utf-8"?>
<styleSheet xmlns="http://schemas.openxmlformats.org/spreadsheetml/2006/main">
  <numFmts count="8">
    <numFmt numFmtId="164" formatCode="General"/>
    <numFmt numFmtId="165" formatCode="\$#,##0.00;&quot;($&quot;#,##0.00\);\-"/>
    <numFmt numFmtId="166" formatCode="\$#,##0;&quot;($&quot;#,##0\);\-"/>
    <numFmt numFmtId="167" formatCode="#,##0"/>
    <numFmt numFmtId="168" formatCode="0.0%"/>
    <numFmt numFmtId="169" formatCode="0.0"/>
    <numFmt numFmtId="170" formatCode="0.0\x"/>
    <numFmt numFmtId="171" formatCode="0.00\x"/>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sz val="9"/>
      <name val="Arial"/>
      <family val="0"/>
      <charset val="1"/>
    </font>
    <font>
      <i val="true"/>
      <sz val="9"/>
      <name val="Arial"/>
      <family val="0"/>
      <charset val="1"/>
    </font>
    <font>
      <sz val="10"/>
      <color rgb="FF0000FF"/>
      <name val="Arial"/>
      <family val="0"/>
      <charset val="1"/>
    </font>
    <font>
      <b val="true"/>
      <sz val="10"/>
      <color rgb="FFC00000"/>
      <name val="Arial"/>
      <family val="0"/>
      <charset val="1"/>
    </font>
    <font>
      <b val="true"/>
      <sz val="11"/>
      <color rgb="FFFFFFFF"/>
      <name val="Arial"/>
      <family val="0"/>
      <charset val="1"/>
    </font>
    <font>
      <sz val="10"/>
      <color rgb="FF008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FFFF00"/>
        <bgColor rgb="FFFFFF00"/>
      </patternFill>
    </fill>
    <fill>
      <patternFill patternType="solid">
        <fgColor rgb="FFE2EFDA"/>
        <bgColor rgb="FFD9E2F3"/>
      </patternFill>
    </fill>
    <fill>
      <patternFill patternType="solid">
        <fgColor rgb="FFFCE4E4"/>
        <bgColor rgb="FFFFF2CC"/>
      </patternFill>
    </fill>
    <fill>
      <patternFill patternType="solid">
        <fgColor rgb="FF3D6FA8"/>
        <bgColor rgb="FF3366FF"/>
      </patternFill>
    </fill>
    <fill>
      <patternFill patternType="solid">
        <fgColor rgb="FFFFF2CC"/>
        <bgColor rgb="FFFCE4E4"/>
      </patternFill>
    </fill>
  </fills>
  <borders count="2">
    <border diagonalUp="false" diagonalDown="false">
      <left/>
      <right/>
      <top/>
      <bottom/>
      <diagonal/>
    </border>
    <border diagonalUp="false" diagonalDown="false">
      <left style="thin">
        <color rgb="FFB3B3B3"/>
      </left>
      <right style="thin">
        <color rgb="FFB3B3B3"/>
      </right>
      <top style="thin">
        <color rgb="FFB3B3B3"/>
      </top>
      <bottom style="thin">
        <color rgb="FFB3B3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5" fontId="6" fillId="0" borderId="1" xfId="0" applyFont="true" applyBorder="true" applyAlignment="true" applyProtection="false">
      <alignment horizontal="right"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6" fontId="5" fillId="0" borderId="1" xfId="0" applyFont="true" applyBorder="true" applyAlignment="true" applyProtection="false">
      <alignment horizontal="right" vertical="top" textRotation="0" wrapText="false" indent="0" shrinkToFit="false"/>
      <protection locked="true" hidden="false"/>
    </xf>
    <xf numFmtId="164" fontId="8" fillId="0" borderId="0" xfId="0" applyFont="true" applyBorder="true" applyAlignment="true" applyProtection="false">
      <alignment horizontal="left" vertical="top" textRotation="0" wrapText="false" indent="0" shrinkToFit="false"/>
      <protection locked="true" hidden="false"/>
    </xf>
    <xf numFmtId="167" fontId="9" fillId="4" borderId="1" xfId="0" applyFont="true" applyBorder="true" applyAlignment="true" applyProtection="false">
      <alignment horizontal="right" vertical="top" textRotation="0" wrapText="false" indent="0" shrinkToFit="false"/>
      <protection locked="true" hidden="false"/>
    </xf>
    <xf numFmtId="168" fontId="9" fillId="4" borderId="1" xfId="0" applyFont="true" applyBorder="true" applyAlignment="true" applyProtection="false">
      <alignment horizontal="right" vertical="top" textRotation="0" wrapText="false" indent="0" shrinkToFit="false"/>
      <protection locked="true" hidden="false"/>
    </xf>
    <xf numFmtId="169" fontId="9" fillId="4" borderId="1" xfId="0" applyFont="true" applyBorder="true" applyAlignment="true" applyProtection="false">
      <alignment horizontal="right"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7" fontId="6" fillId="0" borderId="1" xfId="0" applyFont="true" applyBorder="true" applyAlignment="true" applyProtection="false">
      <alignment horizontal="right" vertical="top" textRotation="0" wrapText="fals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7" fontId="5" fillId="5" borderId="1" xfId="0" applyFont="true" applyBorder="true" applyAlignment="true" applyProtection="false">
      <alignment horizontal="right" vertical="top"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70" fontId="10" fillId="6" borderId="1" xfId="0" applyFont="true" applyBorder="true" applyAlignment="true" applyProtection="false">
      <alignment horizontal="right" vertical="top" textRotation="0" wrapText="fals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5" fontId="9" fillId="4" borderId="1" xfId="0" applyFont="true" applyBorder="true" applyAlignment="true" applyProtection="false">
      <alignment horizontal="right" vertical="top" textRotation="0" wrapText="false" indent="0" shrinkToFit="false"/>
      <protection locked="true" hidden="false"/>
    </xf>
    <xf numFmtId="166" fontId="6" fillId="0" borderId="1" xfId="0" applyFont="true" applyBorder="true" applyAlignment="true" applyProtection="false">
      <alignment horizontal="right" vertical="top" textRotation="0" wrapText="false" indent="0" shrinkToFit="false"/>
      <protection locked="true" hidden="false"/>
    </xf>
    <xf numFmtId="166" fontId="5" fillId="5" borderId="1" xfId="0" applyFont="true" applyBorder="true" applyAlignment="true" applyProtection="false">
      <alignment horizontal="right" vertical="top" textRotation="0" wrapText="false" indent="0" shrinkToFit="false"/>
      <protection locked="true" hidden="false"/>
    </xf>
    <xf numFmtId="166" fontId="9" fillId="4" borderId="1" xfId="0" applyFont="true" applyBorder="true" applyAlignment="true" applyProtection="false">
      <alignment horizontal="right" vertical="top" textRotation="0" wrapText="fals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5" fillId="8" borderId="1" xfId="0" applyFont="true" applyBorder="true" applyAlignment="true" applyProtection="false">
      <alignment horizontal="center" vertical="top" textRotation="0" wrapText="false" indent="0" shrinkToFit="false"/>
      <protection locked="true" hidden="false"/>
    </xf>
    <xf numFmtId="165" fontId="9" fillId="0" borderId="1" xfId="0" applyFont="true" applyBorder="true" applyAlignment="true" applyProtection="false">
      <alignment horizontal="right"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5" fontId="12" fillId="0" borderId="1" xfId="0" applyFont="true" applyBorder="true" applyAlignment="true" applyProtection="false">
      <alignment horizontal="right" vertical="top" textRotation="0" wrapText="false" indent="0" shrinkToFit="false"/>
      <protection locked="true" hidden="false"/>
    </xf>
    <xf numFmtId="165" fontId="5" fillId="3" borderId="1" xfId="0" applyFont="true" applyBorder="true" applyAlignment="true" applyProtection="false">
      <alignment horizontal="right" vertical="top" textRotation="0" wrapText="false" indent="0" shrinkToFit="false"/>
      <protection locked="true" hidden="false"/>
    </xf>
    <xf numFmtId="164" fontId="6" fillId="3" borderId="1" xfId="0" applyFont="true" applyBorder="true" applyAlignment="true" applyProtection="false">
      <alignment horizontal="left" vertical="top" textRotation="0" wrapText="false" indent="0" shrinkToFit="false"/>
      <protection locked="true" hidden="false"/>
    </xf>
    <xf numFmtId="165" fontId="5" fillId="5" borderId="1" xfId="0" applyFont="true" applyBorder="true" applyAlignment="true" applyProtection="false">
      <alignment horizontal="right" vertical="top" textRotation="0" wrapText="false" indent="0" shrinkToFit="false"/>
      <protection locked="true" hidden="false"/>
    </xf>
    <xf numFmtId="164" fontId="6" fillId="5"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left" vertical="top" textRotation="0" wrapText="false" indent="0" shrinkToFit="false"/>
      <protection locked="true" hidden="false"/>
    </xf>
    <xf numFmtId="166" fontId="5" fillId="6" borderId="1" xfId="0" applyFont="true" applyBorder="true" applyAlignment="true" applyProtection="false">
      <alignment horizontal="right" vertical="top" textRotation="0" wrapText="false" indent="0" shrinkToFit="false"/>
      <protection locked="true" hidden="false"/>
    </xf>
    <xf numFmtId="171" fontId="10" fillId="6" borderId="1" xfId="0" applyFont="true" applyBorder="tru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3D6FA8"/>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3" min="3" style="0" width="18"/>
    <col collapsed="false" customWidth="true" hidden="false" outlineLevel="0" max="4" min="4" style="0" width="86"/>
  </cols>
  <sheetData>
    <row r="1" customFormat="false" ht="25.5" hidden="false" customHeight="true" outlineLevel="0" collapsed="false">
      <c r="A1" s="1" t="s">
        <v>0</v>
      </c>
      <c r="B1" s="1"/>
      <c r="C1" s="1"/>
      <c r="D1" s="1"/>
    </row>
    <row r="3" customFormat="false" ht="15" hidden="false" customHeight="false" outlineLevel="0" collapsed="false">
      <c r="A3" s="2" t="s">
        <v>1</v>
      </c>
      <c r="B3" s="2" t="s">
        <v>2</v>
      </c>
      <c r="C3" s="2" t="s">
        <v>3</v>
      </c>
      <c r="D3" s="2" t="s">
        <v>4</v>
      </c>
    </row>
    <row r="4" customFormat="false" ht="66" hidden="false" customHeight="true" outlineLevel="0" collapsed="false">
      <c r="A4" s="3" t="n">
        <v>1</v>
      </c>
      <c r="B4" s="4" t="s">
        <v>5</v>
      </c>
      <c r="C4" s="5" t="n">
        <f aca="false">'Consumption Model'!B53-'Consumption Model'!B54</f>
        <v>1701.63</v>
      </c>
      <c r="D4" s="6" t="s">
        <v>6</v>
      </c>
    </row>
    <row r="5" customFormat="false" ht="66" hidden="false" customHeight="true" outlineLevel="0" collapsed="false">
      <c r="A5" s="3" t="n">
        <v>2</v>
      </c>
      <c r="B5" s="4" t="s">
        <v>7</v>
      </c>
      <c r="C5" s="7" t="s">
        <v>8</v>
      </c>
      <c r="D5" s="6" t="s">
        <v>9</v>
      </c>
    </row>
    <row r="6" customFormat="false" ht="66" hidden="false" customHeight="true" outlineLevel="0" collapsed="false">
      <c r="A6" s="3" t="n">
        <v>3</v>
      </c>
      <c r="B6" s="4" t="s">
        <v>10</v>
      </c>
      <c r="C6" s="5" t="n">
        <f aca="false">'Consumption Model'!B59</f>
        <v>60.642</v>
      </c>
      <c r="D6" s="6" t="s">
        <v>11</v>
      </c>
    </row>
    <row r="7" customFormat="false" ht="66" hidden="false" customHeight="true" outlineLevel="0" collapsed="false">
      <c r="A7" s="3" t="n">
        <v>4</v>
      </c>
      <c r="B7" s="4" t="s">
        <v>12</v>
      </c>
      <c r="C7" s="5" t="n">
        <f aca="false">70</f>
        <v>70</v>
      </c>
      <c r="D7" s="6" t="s">
        <v>13</v>
      </c>
    </row>
    <row r="8" customFormat="false" ht="66" hidden="false" customHeight="true" outlineLevel="0" collapsed="false">
      <c r="A8" s="3" t="n">
        <v>5</v>
      </c>
      <c r="B8" s="4" t="s">
        <v>14</v>
      </c>
      <c r="C8" s="5" t="n">
        <f aca="false">263</f>
        <v>263</v>
      </c>
      <c r="D8" s="6" t="s">
        <v>15</v>
      </c>
    </row>
    <row r="9" customFormat="false" ht="66" hidden="false" customHeight="true" outlineLevel="0" collapsed="false">
      <c r="A9" s="3" t="n">
        <v>6</v>
      </c>
      <c r="B9" s="4" t="s">
        <v>16</v>
      </c>
      <c r="C9" s="7" t="s">
        <v>8</v>
      </c>
      <c r="D9" s="6" t="s">
        <v>17</v>
      </c>
    </row>
    <row r="10" customFormat="false" ht="66" hidden="false" customHeight="true" outlineLevel="0" collapsed="false">
      <c r="A10" s="3" t="n">
        <v>7</v>
      </c>
      <c r="B10" s="4" t="s">
        <v>18</v>
      </c>
      <c r="C10" s="5" t="n">
        <f aca="false">-64.77</f>
        <v>-64.77</v>
      </c>
      <c r="D10" s="6" t="s">
        <v>19</v>
      </c>
    </row>
    <row r="11" customFormat="false" ht="66" hidden="false" customHeight="true" outlineLevel="0" collapsed="false">
      <c r="A11" s="3" t="n">
        <v>8</v>
      </c>
      <c r="B11" s="4" t="s">
        <v>20</v>
      </c>
      <c r="C11" s="5" t="n">
        <f aca="false">64.32</f>
        <v>64.32</v>
      </c>
      <c r="D11" s="6" t="s">
        <v>21</v>
      </c>
    </row>
    <row r="12" customFormat="false" ht="66" hidden="false" customHeight="true" outlineLevel="0" collapsed="false">
      <c r="A12" s="3" t="n">
        <v>9</v>
      </c>
      <c r="B12" s="4" t="s">
        <v>22</v>
      </c>
      <c r="C12" s="5" t="n">
        <f aca="false">163.83</f>
        <v>163.83</v>
      </c>
      <c r="D12" s="6" t="s">
        <v>23</v>
      </c>
    </row>
    <row r="13" customFormat="false" ht="66" hidden="false" customHeight="true" outlineLevel="0" collapsed="false">
      <c r="A13" s="3" t="n">
        <v>10</v>
      </c>
      <c r="B13" s="4" t="s">
        <v>24</v>
      </c>
      <c r="C13" s="7" t="s">
        <v>8</v>
      </c>
      <c r="D13" s="6" t="s">
        <v>25</v>
      </c>
    </row>
    <row r="15" customFormat="false" ht="15" hidden="false" customHeight="false" outlineLevel="0" collapsed="false">
      <c r="B15" s="2" t="s">
        <v>26</v>
      </c>
      <c r="C15" s="2"/>
      <c r="D15" s="2"/>
    </row>
    <row r="16" customFormat="false" ht="15" hidden="false" customHeight="false" outlineLevel="0" collapsed="false">
      <c r="B16" s="8" t="s">
        <v>27</v>
      </c>
      <c r="C16" s="9" t="n">
        <f aca="false">32669.16</f>
        <v>32669.16</v>
      </c>
      <c r="D16" s="6"/>
    </row>
    <row r="17" customFormat="false" ht="15" hidden="false" customHeight="false" outlineLevel="0" collapsed="false">
      <c r="B17" s="8" t="s">
        <v>28</v>
      </c>
      <c r="C17" s="9" t="n">
        <f aca="false">Scenarios!C9</f>
        <v>66872.424</v>
      </c>
      <c r="D17" s="6"/>
    </row>
    <row r="18" customFormat="false" ht="15" hidden="false" customHeight="false" outlineLevel="0" collapsed="false">
      <c r="B18" s="8" t="s">
        <v>29</v>
      </c>
      <c r="C18" s="8" t="str">
        <f aca="false">TEXT(Scenarios!B9,"$#,##0")&amp;"  to  "&amp;TEXT(Scenarios!D9,"$#,##0")</f>
        <v>$36,473  to  $152,740</v>
      </c>
      <c r="D18" s="6"/>
    </row>
    <row r="20" customFormat="false" ht="57.75" hidden="false" customHeight="true" outlineLevel="0" collapsed="false">
      <c r="B20" s="10" t="s">
        <v>30</v>
      </c>
      <c r="C20" s="10"/>
      <c r="D20" s="10"/>
    </row>
  </sheetData>
  <mergeCells count="2">
    <mergeCell ref="A1:D1"/>
    <mergeCell ref="B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5" min="3" style="0" width="14"/>
    <col collapsed="false" customWidth="true" hidden="false" outlineLevel="0" max="6" min="6" style="0" width="72"/>
  </cols>
  <sheetData>
    <row r="1" customFormat="false" ht="17.35" hidden="false" customHeight="false" outlineLevel="0" collapsed="false">
      <c r="A1" s="1" t="s">
        <v>31</v>
      </c>
      <c r="B1" s="1"/>
      <c r="C1" s="1"/>
      <c r="D1" s="1"/>
      <c r="E1" s="1"/>
      <c r="F1" s="1"/>
    </row>
    <row r="3" customFormat="false" ht="15" hidden="false" customHeight="false" outlineLevel="0" collapsed="false">
      <c r="A3" s="10" t="s">
        <v>32</v>
      </c>
      <c r="B3" s="10"/>
      <c r="C3" s="10"/>
      <c r="D3" s="10"/>
      <c r="E3" s="10"/>
      <c r="F3" s="10"/>
    </row>
    <row r="5" customFormat="false" ht="15" hidden="false" customHeight="false" outlineLevel="0" collapsed="false">
      <c r="A5" s="2" t="s">
        <v>33</v>
      </c>
      <c r="B5" s="2"/>
      <c r="C5" s="2"/>
      <c r="D5" s="2"/>
      <c r="E5" s="2"/>
      <c r="F5" s="2" t="s">
        <v>34</v>
      </c>
    </row>
    <row r="6" customFormat="false" ht="32.8" hidden="false" customHeight="false" outlineLevel="0" collapsed="false">
      <c r="A6" s="4" t="s">
        <v>35</v>
      </c>
      <c r="B6" s="11" t="n">
        <v>9000</v>
      </c>
      <c r="F6" s="6" t="s">
        <v>36</v>
      </c>
    </row>
    <row r="7" customFormat="false" ht="22.35" hidden="false" customHeight="false" outlineLevel="0" collapsed="false">
      <c r="A7" s="4" t="s">
        <v>37</v>
      </c>
      <c r="B7" s="11" t="n">
        <v>3000</v>
      </c>
      <c r="F7" s="6" t="s">
        <v>38</v>
      </c>
    </row>
    <row r="8" customFormat="false" ht="15" hidden="false" customHeight="false" outlineLevel="0" collapsed="false">
      <c r="A8" s="4" t="s">
        <v>39</v>
      </c>
      <c r="B8" s="12" t="n">
        <v>0.8</v>
      </c>
      <c r="F8" s="6" t="s">
        <v>40</v>
      </c>
    </row>
    <row r="9" customFormat="false" ht="22.35" hidden="false" customHeight="false" outlineLevel="0" collapsed="false">
      <c r="A9" s="4" t="s">
        <v>41</v>
      </c>
      <c r="B9" s="13" t="n">
        <v>1.5</v>
      </c>
      <c r="F9" s="6" t="s">
        <v>42</v>
      </c>
    </row>
    <row r="11" customFormat="false" ht="15" hidden="false" customHeight="false" outlineLevel="0" collapsed="false">
      <c r="A11" s="2" t="s">
        <v>43</v>
      </c>
      <c r="B11" s="2"/>
      <c r="C11" s="2"/>
      <c r="D11" s="2"/>
      <c r="E11" s="2"/>
      <c r="F11" s="2"/>
    </row>
    <row r="12" customFormat="false" ht="15" hidden="false" customHeight="false" outlineLevel="0" collapsed="false">
      <c r="A12" s="14"/>
      <c r="B12" s="14" t="s">
        <v>44</v>
      </c>
      <c r="C12" s="14"/>
      <c r="D12" s="14"/>
      <c r="E12" s="14"/>
      <c r="F12" s="14" t="s">
        <v>45</v>
      </c>
    </row>
    <row r="13" customFormat="false" ht="22.35" hidden="false" customHeight="false" outlineLevel="0" collapsed="false">
      <c r="A13" s="4" t="s">
        <v>46</v>
      </c>
      <c r="B13" s="15" t="n">
        <f aca="false">B6</f>
        <v>9000</v>
      </c>
      <c r="F13" s="6" t="s">
        <v>47</v>
      </c>
    </row>
    <row r="14" customFormat="false" ht="22.35" hidden="false" customHeight="false" outlineLevel="0" collapsed="false">
      <c r="A14" s="4" t="s">
        <v>48</v>
      </c>
      <c r="B14" s="15" t="n">
        <f aca="false">(B6*B8*B9)+(B7*B9)</f>
        <v>15300</v>
      </c>
      <c r="F14" s="6" t="s">
        <v>49</v>
      </c>
    </row>
    <row r="15" customFormat="false" ht="15" hidden="false" customHeight="false" outlineLevel="0" collapsed="false">
      <c r="A15" s="16" t="s">
        <v>50</v>
      </c>
      <c r="B15" s="17" t="n">
        <f aca="false">B13+B14</f>
        <v>24300</v>
      </c>
      <c r="F15" s="18" t="s">
        <v>51</v>
      </c>
    </row>
    <row r="16" customFormat="false" ht="32.8" hidden="false" customHeight="false" outlineLevel="0" collapsed="false">
      <c r="A16" s="4" t="s">
        <v>52</v>
      </c>
      <c r="B16" s="11" t="n">
        <v>27000</v>
      </c>
      <c r="F16" s="6" t="s">
        <v>53</v>
      </c>
    </row>
    <row r="18" customFormat="false" ht="15" hidden="false" customHeight="false" outlineLevel="0" collapsed="false">
      <c r="A18" s="2" t="s">
        <v>54</v>
      </c>
      <c r="B18" s="2"/>
      <c r="C18" s="2"/>
      <c r="D18" s="2"/>
      <c r="E18" s="2"/>
      <c r="F18" s="2"/>
    </row>
    <row r="19" customFormat="false" ht="15" hidden="false" customHeight="false" outlineLevel="0" collapsed="false">
      <c r="A19" s="4" t="s">
        <v>55</v>
      </c>
      <c r="B19" s="11" t="n">
        <v>8</v>
      </c>
      <c r="F19" s="6" t="s">
        <v>56</v>
      </c>
    </row>
    <row r="20" customFormat="false" ht="32.8" hidden="false" customHeight="false" outlineLevel="0" collapsed="false">
      <c r="A20" s="4" t="s">
        <v>57</v>
      </c>
      <c r="B20" s="15" t="n">
        <f aca="false">B19+1</f>
        <v>9</v>
      </c>
      <c r="F20" s="6" t="s">
        <v>58</v>
      </c>
    </row>
    <row r="21" customFormat="false" ht="22.35" hidden="false" customHeight="false" outlineLevel="0" collapsed="false">
      <c r="A21" s="4" t="s">
        <v>59</v>
      </c>
      <c r="B21" s="11" t="n">
        <v>5000</v>
      </c>
      <c r="F21" s="6" t="s">
        <v>60</v>
      </c>
    </row>
    <row r="22" customFormat="false" ht="15" hidden="false" customHeight="false" outlineLevel="0" collapsed="false">
      <c r="A22" s="4" t="s">
        <v>61</v>
      </c>
      <c r="B22" s="11" t="n">
        <v>1500</v>
      </c>
      <c r="F22" s="6" t="s">
        <v>62</v>
      </c>
    </row>
    <row r="23" customFormat="false" ht="22.35" hidden="false" customHeight="false" outlineLevel="0" collapsed="false">
      <c r="A23" s="4" t="s">
        <v>63</v>
      </c>
      <c r="B23" s="11" t="n">
        <v>1200</v>
      </c>
      <c r="F23" s="6" t="s">
        <v>64</v>
      </c>
    </row>
    <row r="24" customFormat="false" ht="15" hidden="false" customHeight="false" outlineLevel="0" collapsed="false">
      <c r="A24" s="4" t="s">
        <v>65</v>
      </c>
      <c r="B24" s="11" t="n">
        <v>400</v>
      </c>
      <c r="F24" s="6" t="s">
        <v>66</v>
      </c>
    </row>
    <row r="25" customFormat="false" ht="15" hidden="false" customHeight="false" outlineLevel="0" collapsed="false">
      <c r="A25" s="4" t="s">
        <v>67</v>
      </c>
      <c r="B25" s="11" t="n">
        <v>1200</v>
      </c>
      <c r="F25" s="6" t="s">
        <v>68</v>
      </c>
    </row>
    <row r="26" customFormat="false" ht="15" hidden="false" customHeight="false" outlineLevel="0" collapsed="false">
      <c r="A26" s="4" t="s">
        <v>69</v>
      </c>
      <c r="B26" s="11" t="n">
        <v>3500</v>
      </c>
      <c r="F26" s="6" t="s">
        <v>70</v>
      </c>
    </row>
    <row r="27" customFormat="false" ht="15" hidden="false" customHeight="false" outlineLevel="0" collapsed="false">
      <c r="A27" s="4" t="s">
        <v>71</v>
      </c>
      <c r="B27" s="11" t="n">
        <v>250</v>
      </c>
      <c r="F27" s="6" t="s">
        <v>72</v>
      </c>
    </row>
    <row r="29" customFormat="false" ht="15" hidden="false" customHeight="false" outlineLevel="0" collapsed="false">
      <c r="A29" s="2" t="s">
        <v>73</v>
      </c>
      <c r="B29" s="2"/>
      <c r="C29" s="2"/>
      <c r="D29" s="2"/>
      <c r="E29" s="2"/>
      <c r="F29" s="2"/>
    </row>
    <row r="30" customFormat="false" ht="22.35" hidden="false" customHeight="false" outlineLevel="0" collapsed="false">
      <c r="A30" s="4" t="s">
        <v>74</v>
      </c>
      <c r="B30" s="15" t="n">
        <f aca="false">B21+B22+(B23*(B20-1)/2)</f>
        <v>11300</v>
      </c>
      <c r="F30" s="6" t="s">
        <v>75</v>
      </c>
    </row>
    <row r="31" customFormat="false" ht="15" hidden="false" customHeight="false" outlineLevel="0" collapsed="false">
      <c r="A31" s="4" t="s">
        <v>76</v>
      </c>
      <c r="B31" s="15" t="n">
        <f aca="false">B14*B20*B30</f>
        <v>1556010000</v>
      </c>
    </row>
    <row r="32" customFormat="false" ht="15" hidden="false" customHeight="false" outlineLevel="0" collapsed="false">
      <c r="A32" s="4" t="s">
        <v>77</v>
      </c>
      <c r="B32" s="15" t="n">
        <f aca="false">B14*(((B20-1)*B24)+B25)</f>
        <v>67320000</v>
      </c>
    </row>
    <row r="33" customFormat="false" ht="15" hidden="false" customHeight="false" outlineLevel="0" collapsed="false">
      <c r="A33" s="4" t="s">
        <v>78</v>
      </c>
      <c r="B33" s="15" t="n">
        <f aca="false">B13*B26</f>
        <v>31500000</v>
      </c>
    </row>
    <row r="34" customFormat="false" ht="15" hidden="false" customHeight="false" outlineLevel="0" collapsed="false">
      <c r="A34" s="4" t="s">
        <v>79</v>
      </c>
      <c r="B34" s="15" t="n">
        <f aca="false">B13*B27</f>
        <v>2250000</v>
      </c>
    </row>
    <row r="35" customFormat="false" ht="15" hidden="false" customHeight="false" outlineLevel="0" collapsed="false">
      <c r="A35" s="16" t="s">
        <v>80</v>
      </c>
      <c r="B35" s="17" t="n">
        <f aca="false">B31+B33</f>
        <v>1587510000</v>
      </c>
    </row>
    <row r="36" customFormat="false" ht="15" hidden="false" customHeight="false" outlineLevel="0" collapsed="false">
      <c r="A36" s="16" t="s">
        <v>81</v>
      </c>
      <c r="B36" s="17" t="n">
        <f aca="false">B32+B34</f>
        <v>69570000</v>
      </c>
    </row>
    <row r="37" customFormat="false" ht="15" hidden="false" customHeight="false" outlineLevel="0" collapsed="false">
      <c r="A37" s="4" t="s">
        <v>82</v>
      </c>
      <c r="B37" s="11" t="n">
        <v>216000000</v>
      </c>
      <c r="F37" s="6" t="s">
        <v>83</v>
      </c>
    </row>
    <row r="38" customFormat="false" ht="15" hidden="false" customHeight="false" outlineLevel="0" collapsed="false">
      <c r="A38" s="4" t="s">
        <v>84</v>
      </c>
      <c r="B38" s="11" t="n">
        <v>43200000</v>
      </c>
    </row>
    <row r="39" customFormat="false" ht="32.8" hidden="false" customHeight="false" outlineLevel="0" collapsed="false">
      <c r="A39" s="19" t="s">
        <v>85</v>
      </c>
      <c r="B39" s="20" t="n">
        <f aca="false">B35/B37</f>
        <v>7.34958333333333</v>
      </c>
      <c r="F39" s="21" t="s">
        <v>86</v>
      </c>
    </row>
    <row r="41" customFormat="false" ht="15" hidden="false" customHeight="false" outlineLevel="0" collapsed="false">
      <c r="A41" s="2" t="s">
        <v>87</v>
      </c>
      <c r="B41" s="2"/>
      <c r="C41" s="2"/>
      <c r="D41" s="2"/>
      <c r="E41" s="2"/>
      <c r="F41" s="2"/>
    </row>
    <row r="42" customFormat="false" ht="15" hidden="false" customHeight="false" outlineLevel="0" collapsed="false">
      <c r="A42" s="14" t="s">
        <v>88</v>
      </c>
      <c r="B42" s="14" t="s">
        <v>89</v>
      </c>
      <c r="C42" s="14" t="s">
        <v>90</v>
      </c>
      <c r="D42" s="14"/>
      <c r="E42" s="14"/>
      <c r="F42" s="14" t="s">
        <v>91</v>
      </c>
    </row>
    <row r="43" customFormat="false" ht="22.35" hidden="false" customHeight="false" outlineLevel="0" collapsed="false">
      <c r="A43" s="22" t="s">
        <v>92</v>
      </c>
      <c r="B43" s="23" t="n">
        <v>5</v>
      </c>
      <c r="C43" s="23" t="n">
        <v>25</v>
      </c>
      <c r="F43" s="6" t="s">
        <v>93</v>
      </c>
    </row>
    <row r="44" customFormat="false" ht="15" hidden="false" customHeight="false" outlineLevel="0" collapsed="false">
      <c r="A44" s="22" t="s">
        <v>94</v>
      </c>
      <c r="B44" s="23" t="n">
        <v>3</v>
      </c>
      <c r="C44" s="23" t="n">
        <v>15</v>
      </c>
      <c r="F44" s="6" t="s">
        <v>95</v>
      </c>
    </row>
    <row r="45" customFormat="false" ht="15" hidden="false" customHeight="false" outlineLevel="0" collapsed="false">
      <c r="A45" s="22" t="s">
        <v>96</v>
      </c>
      <c r="B45" s="23" t="n">
        <v>1</v>
      </c>
      <c r="C45" s="23" t="n">
        <v>5</v>
      </c>
      <c r="F45" s="6" t="s">
        <v>97</v>
      </c>
    </row>
    <row r="47" customFormat="false" ht="15" hidden="false" customHeight="false" outlineLevel="0" collapsed="false">
      <c r="A47" s="2" t="s">
        <v>98</v>
      </c>
      <c r="B47" s="2"/>
      <c r="C47" s="2"/>
      <c r="D47" s="2"/>
      <c r="E47" s="2"/>
      <c r="F47" s="2"/>
    </row>
    <row r="48" customFormat="false" ht="15" hidden="false" customHeight="false" outlineLevel="0" collapsed="false">
      <c r="A48" s="14" t="s">
        <v>99</v>
      </c>
      <c r="B48" s="14" t="s">
        <v>100</v>
      </c>
      <c r="C48" s="14" t="s">
        <v>101</v>
      </c>
      <c r="D48" s="14"/>
      <c r="E48" s="14"/>
      <c r="F48" s="14" t="s">
        <v>102</v>
      </c>
    </row>
    <row r="49" customFormat="false" ht="15" hidden="false" customHeight="false" outlineLevel="0" collapsed="false">
      <c r="A49" s="4" t="s">
        <v>103</v>
      </c>
      <c r="B49" s="24" t="n">
        <f aca="false">(B35/1000000*B43)+(B36/1000000*C43)</f>
        <v>9676.8</v>
      </c>
      <c r="C49" s="24" t="n">
        <f aca="false">B49*12</f>
        <v>116121.6</v>
      </c>
      <c r="F49" s="6" t="s">
        <v>104</v>
      </c>
    </row>
    <row r="50" customFormat="false" ht="15" hidden="false" customHeight="false" outlineLevel="0" collapsed="false">
      <c r="A50" s="4" t="s">
        <v>105</v>
      </c>
      <c r="B50" s="24" t="n">
        <f aca="false">(B35/1000000*B44)+(B36/1000000*C44)</f>
        <v>5806.08</v>
      </c>
      <c r="C50" s="24" t="n">
        <f aca="false">B50*12</f>
        <v>69672.96</v>
      </c>
      <c r="F50" s="6" t="s">
        <v>106</v>
      </c>
    </row>
    <row r="51" customFormat="false" ht="15" hidden="false" customHeight="false" outlineLevel="0" collapsed="false">
      <c r="A51" s="4" t="s">
        <v>107</v>
      </c>
      <c r="B51" s="24" t="n">
        <f aca="false">(B33/1000000*B45)+(B34/1000000*C45)+(B31/1000000*B44)+(B32/1000000*C44)</f>
        <v>5720.58</v>
      </c>
      <c r="C51" s="24" t="n">
        <f aca="false">B51*12</f>
        <v>68646.96</v>
      </c>
      <c r="F51" s="18" t="s">
        <v>108</v>
      </c>
    </row>
    <row r="52" customFormat="false" ht="32.8" hidden="false" customHeight="false" outlineLevel="0" collapsed="false">
      <c r="A52" s="4" t="s">
        <v>109</v>
      </c>
      <c r="B52" s="24" t="n">
        <f aca="false">-(B14*B20*B21/1000000*B44*0.9)</f>
        <v>-1858.95</v>
      </c>
      <c r="C52" s="24" t="n">
        <f aca="false">B52*12</f>
        <v>-22307.4</v>
      </c>
      <c r="F52" s="6" t="s">
        <v>110</v>
      </c>
    </row>
    <row r="53" customFormat="false" ht="15" hidden="false" customHeight="false" outlineLevel="0" collapsed="false">
      <c r="A53" s="16" t="s">
        <v>111</v>
      </c>
      <c r="B53" s="25" t="n">
        <f aca="false">B51+B52</f>
        <v>3861.63</v>
      </c>
      <c r="C53" s="25" t="n">
        <f aca="false">B53*12</f>
        <v>46339.56</v>
      </c>
    </row>
    <row r="54" customFormat="false" ht="15" hidden="false" customHeight="false" outlineLevel="0" collapsed="false">
      <c r="A54" s="4" t="s">
        <v>112</v>
      </c>
      <c r="B54" s="26" t="n">
        <v>2160</v>
      </c>
      <c r="C54" s="24" t="n">
        <f aca="false">B54*12</f>
        <v>25920</v>
      </c>
    </row>
    <row r="56" customFormat="false" ht="15" hidden="false" customHeight="false" outlineLevel="0" collapsed="false">
      <c r="A56" s="2" t="s">
        <v>113</v>
      </c>
      <c r="B56" s="2"/>
      <c r="C56" s="2"/>
      <c r="D56" s="2"/>
      <c r="E56" s="2"/>
      <c r="F56" s="2"/>
    </row>
    <row r="57" customFormat="false" ht="15" hidden="false" customHeight="false" outlineLevel="0" collapsed="false">
      <c r="A57" s="4" t="s">
        <v>114</v>
      </c>
      <c r="B57" s="23" t="n">
        <v>0.15</v>
      </c>
    </row>
    <row r="58" customFormat="false" ht="32.8" hidden="false" customHeight="false" outlineLevel="0" collapsed="false">
      <c r="A58" s="4" t="s">
        <v>115</v>
      </c>
      <c r="B58" s="24" t="n">
        <f aca="false">B35*4/1000/1000*B57</f>
        <v>952.506</v>
      </c>
      <c r="F58" s="21" t="s">
        <v>116</v>
      </c>
    </row>
    <row r="59" customFormat="false" ht="23.85" hidden="false" customHeight="false" outlineLevel="0" collapsed="false">
      <c r="A59" s="4" t="s">
        <v>117</v>
      </c>
      <c r="B59" s="24" t="n">
        <f aca="false">((B33+B36)*4/1000/1000)*B57</f>
        <v>60.642</v>
      </c>
      <c r="F59" s="18" t="s">
        <v>118</v>
      </c>
    </row>
  </sheetData>
  <mergeCells count="2">
    <mergeCell ref="A1:F1"/>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3" min="3" style="0" width="60"/>
    <col collapsed="false" customWidth="true" hidden="false" outlineLevel="0" max="5" min="4" style="0" width="13"/>
    <col collapsed="false" customWidth="true" hidden="false" outlineLevel="0" max="6" min="6" style="0" width="12"/>
    <col collapsed="false" customWidth="true" hidden="false" outlineLevel="0" max="7" min="7" style="0" width="58"/>
  </cols>
  <sheetData>
    <row r="1" customFormat="false" ht="25.5" hidden="false" customHeight="true" outlineLevel="0" collapsed="false">
      <c r="A1" s="1" t="s">
        <v>119</v>
      </c>
      <c r="B1" s="1"/>
      <c r="C1" s="1"/>
      <c r="D1" s="1"/>
      <c r="E1" s="1"/>
      <c r="F1" s="1"/>
      <c r="G1" s="1"/>
    </row>
    <row r="3" customFormat="false" ht="31.5" hidden="false" customHeight="true" outlineLevel="0" collapsed="false">
      <c r="A3" s="27" t="s">
        <v>120</v>
      </c>
      <c r="B3" s="27" t="s">
        <v>121</v>
      </c>
      <c r="C3" s="27" t="s">
        <v>122</v>
      </c>
      <c r="D3" s="27" t="s">
        <v>123</v>
      </c>
      <c r="E3" s="27" t="s">
        <v>124</v>
      </c>
      <c r="F3" s="27" t="s">
        <v>125</v>
      </c>
      <c r="G3" s="27" t="s">
        <v>126</v>
      </c>
    </row>
    <row r="4" customFormat="false" ht="57.75" hidden="false" customHeight="true" outlineLevel="0" collapsed="false">
      <c r="A4" s="4" t="s">
        <v>127</v>
      </c>
      <c r="B4" s="5" t="n">
        <v>72.95</v>
      </c>
      <c r="C4" s="6" t="s">
        <v>128</v>
      </c>
      <c r="D4" s="28" t="s">
        <v>129</v>
      </c>
      <c r="E4" s="29" t="n">
        <v>110</v>
      </c>
      <c r="F4" s="5" t="n">
        <f aca="false">E4-B4</f>
        <v>37.05</v>
      </c>
      <c r="G4" s="6" t="s">
        <v>130</v>
      </c>
    </row>
    <row r="5" customFormat="false" ht="57.75" hidden="false" customHeight="true" outlineLevel="0" collapsed="false">
      <c r="A5" s="4" t="s">
        <v>131</v>
      </c>
      <c r="B5" s="5" t="n">
        <v>3.11</v>
      </c>
      <c r="C5" s="6" t="s">
        <v>132</v>
      </c>
      <c r="D5" s="30" t="s">
        <v>133</v>
      </c>
      <c r="E5" s="29" t="n">
        <v>3</v>
      </c>
      <c r="F5" s="5" t="n">
        <f aca="false">E5-B5</f>
        <v>-0.11</v>
      </c>
      <c r="G5" s="6" t="s">
        <v>134</v>
      </c>
    </row>
    <row r="6" customFormat="false" ht="57.75" hidden="false" customHeight="true" outlineLevel="0" collapsed="false">
      <c r="A6" s="4" t="s">
        <v>135</v>
      </c>
      <c r="B6" s="5" t="n">
        <v>4.32</v>
      </c>
      <c r="C6" s="6" t="s">
        <v>136</v>
      </c>
      <c r="D6" s="31" t="s">
        <v>137</v>
      </c>
      <c r="E6" s="29" t="n">
        <v>0</v>
      </c>
      <c r="F6" s="5" t="n">
        <f aca="false">E6-B6</f>
        <v>-4.32</v>
      </c>
      <c r="G6" s="6" t="s">
        <v>138</v>
      </c>
    </row>
    <row r="7" customFormat="false" ht="57.75" hidden="false" customHeight="true" outlineLevel="0" collapsed="false">
      <c r="A7" s="4" t="s">
        <v>139</v>
      </c>
      <c r="B7" s="5" t="n">
        <v>1.22</v>
      </c>
      <c r="C7" s="6" t="s">
        <v>140</v>
      </c>
      <c r="D7" s="31" t="s">
        <v>137</v>
      </c>
      <c r="E7" s="29" t="n">
        <v>0</v>
      </c>
      <c r="F7" s="5" t="n">
        <f aca="false">E7-B7</f>
        <v>-1.22</v>
      </c>
      <c r="G7" s="6" t="s">
        <v>141</v>
      </c>
    </row>
    <row r="8" customFormat="false" ht="57.75" hidden="false" customHeight="true" outlineLevel="0" collapsed="false">
      <c r="A8" s="4" t="s">
        <v>142</v>
      </c>
      <c r="B8" s="5" t="n">
        <v>37.13</v>
      </c>
      <c r="C8" s="6" t="s">
        <v>143</v>
      </c>
      <c r="D8" s="30" t="s">
        <v>133</v>
      </c>
      <c r="E8" s="29" t="n">
        <v>28</v>
      </c>
      <c r="F8" s="5" t="n">
        <f aca="false">E8-B8</f>
        <v>-9.13</v>
      </c>
      <c r="G8" s="6" t="s">
        <v>144</v>
      </c>
    </row>
    <row r="9" customFormat="false" ht="57.75" hidden="false" customHeight="true" outlineLevel="0" collapsed="false">
      <c r="A9" s="4" t="s">
        <v>145</v>
      </c>
      <c r="B9" s="5" t="n">
        <v>0.85</v>
      </c>
      <c r="C9" s="6" t="s">
        <v>146</v>
      </c>
      <c r="D9" s="31" t="s">
        <v>147</v>
      </c>
      <c r="E9" s="29" t="n">
        <v>0</v>
      </c>
      <c r="F9" s="5" t="n">
        <f aca="false">E9-B9</f>
        <v>-0.85</v>
      </c>
      <c r="G9" s="6" t="s">
        <v>148</v>
      </c>
    </row>
    <row r="10" customFormat="false" ht="57.75" hidden="false" customHeight="true" outlineLevel="0" collapsed="false">
      <c r="A10" s="4" t="s">
        <v>149</v>
      </c>
      <c r="B10" s="5" t="n">
        <v>2160</v>
      </c>
      <c r="C10" s="6" t="s">
        <v>150</v>
      </c>
      <c r="D10" s="31" t="s">
        <v>151</v>
      </c>
      <c r="E10" s="32" t="n">
        <f aca="false">'Consumption Model'!B53</f>
        <v>3861.63</v>
      </c>
      <c r="F10" s="5" t="n">
        <f aca="false">E10-B10</f>
        <v>1701.63</v>
      </c>
      <c r="G10" s="6" t="s">
        <v>152</v>
      </c>
    </row>
    <row r="11" customFormat="false" ht="57.75" hidden="false" customHeight="true" outlineLevel="0" collapsed="false">
      <c r="A11" s="4" t="s">
        <v>153</v>
      </c>
      <c r="B11" s="5" t="n">
        <v>0.03</v>
      </c>
      <c r="C11" s="6" t="s">
        <v>154</v>
      </c>
      <c r="D11" s="30" t="s">
        <v>133</v>
      </c>
      <c r="E11" s="29" t="n">
        <v>30</v>
      </c>
      <c r="F11" s="5" t="n">
        <f aca="false">E11-B11</f>
        <v>29.97</v>
      </c>
      <c r="G11" s="6" t="s">
        <v>155</v>
      </c>
    </row>
    <row r="12" customFormat="false" ht="57.75" hidden="false" customHeight="true" outlineLevel="0" collapsed="false">
      <c r="A12" s="4" t="s">
        <v>156</v>
      </c>
      <c r="B12" s="5" t="n">
        <v>56.17</v>
      </c>
      <c r="C12" s="6" t="s">
        <v>157</v>
      </c>
      <c r="D12" s="31" t="s">
        <v>147</v>
      </c>
      <c r="E12" s="29" t="n">
        <v>220</v>
      </c>
      <c r="F12" s="5" t="n">
        <f aca="false">E12-B12</f>
        <v>163.83</v>
      </c>
      <c r="G12" s="6" t="s">
        <v>158</v>
      </c>
    </row>
    <row r="13" customFormat="false" ht="57.75" hidden="false" customHeight="true" outlineLevel="0" collapsed="false">
      <c r="A13" s="4" t="s">
        <v>159</v>
      </c>
      <c r="B13" s="5" t="n">
        <v>0.09</v>
      </c>
      <c r="C13" s="6" t="s">
        <v>160</v>
      </c>
      <c r="D13" s="30" t="s">
        <v>161</v>
      </c>
      <c r="E13" s="29" t="n">
        <v>0.09</v>
      </c>
      <c r="F13" s="5" t="n">
        <f aca="false">E13-B13</f>
        <v>0</v>
      </c>
      <c r="G13" s="6" t="s">
        <v>162</v>
      </c>
    </row>
    <row r="14" customFormat="false" ht="57.75" hidden="false" customHeight="true" outlineLevel="0" collapsed="false">
      <c r="A14" s="4" t="s">
        <v>163</v>
      </c>
      <c r="B14" s="5" t="n">
        <v>0.5</v>
      </c>
      <c r="C14" s="6" t="s">
        <v>160</v>
      </c>
      <c r="D14" s="30" t="s">
        <v>161</v>
      </c>
      <c r="E14" s="29" t="n">
        <v>0.5</v>
      </c>
      <c r="F14" s="5" t="n">
        <f aca="false">E14-B14</f>
        <v>0</v>
      </c>
      <c r="G14" s="6" t="s">
        <v>162</v>
      </c>
    </row>
    <row r="15" customFormat="false" ht="57.75" hidden="false" customHeight="true" outlineLevel="0" collapsed="false">
      <c r="A15" s="4" t="s">
        <v>164</v>
      </c>
      <c r="B15" s="5" t="n">
        <v>37.32</v>
      </c>
      <c r="C15" s="6" t="s">
        <v>165</v>
      </c>
      <c r="D15" s="31" t="s">
        <v>137</v>
      </c>
      <c r="E15" s="29" t="n">
        <v>0</v>
      </c>
      <c r="F15" s="5" t="n">
        <f aca="false">E15-B15</f>
        <v>-37.32</v>
      </c>
      <c r="G15" s="6" t="s">
        <v>166</v>
      </c>
    </row>
    <row r="16" customFormat="false" ht="57.75" hidden="false" customHeight="true" outlineLevel="0" collapsed="false">
      <c r="A16" s="4" t="s">
        <v>167</v>
      </c>
      <c r="B16" s="5" t="n">
        <v>2.59</v>
      </c>
      <c r="C16" s="6" t="s">
        <v>168</v>
      </c>
      <c r="D16" s="30" t="s">
        <v>133</v>
      </c>
      <c r="E16" s="29" t="n">
        <v>4</v>
      </c>
      <c r="F16" s="5" t="n">
        <f aca="false">E16-B16</f>
        <v>1.41</v>
      </c>
      <c r="G16" s="6" t="s">
        <v>169</v>
      </c>
    </row>
    <row r="17" customFormat="false" ht="57.75" hidden="false" customHeight="true" outlineLevel="0" collapsed="false">
      <c r="A17" s="4" t="s">
        <v>170</v>
      </c>
      <c r="B17" s="5" t="n">
        <v>0</v>
      </c>
      <c r="C17" s="6" t="s">
        <v>171</v>
      </c>
      <c r="D17" s="28" t="s">
        <v>129</v>
      </c>
      <c r="E17" s="29" t="n">
        <v>25</v>
      </c>
      <c r="F17" s="5" t="n">
        <f aca="false">E17-B17</f>
        <v>25</v>
      </c>
      <c r="G17" s="6" t="s">
        <v>172</v>
      </c>
    </row>
    <row r="18" customFormat="false" ht="57.75" hidden="false" customHeight="true" outlineLevel="0" collapsed="false">
      <c r="A18" s="4" t="s">
        <v>173</v>
      </c>
      <c r="B18" s="5" t="n">
        <v>1.2</v>
      </c>
      <c r="C18" s="6" t="s">
        <v>174</v>
      </c>
      <c r="D18" s="28" t="s">
        <v>129</v>
      </c>
      <c r="E18" s="29" t="n">
        <v>12</v>
      </c>
      <c r="F18" s="5" t="n">
        <f aca="false">E18-B18</f>
        <v>10.8</v>
      </c>
      <c r="G18" s="6" t="s">
        <v>175</v>
      </c>
    </row>
    <row r="19" customFormat="false" ht="57.75" hidden="false" customHeight="true" outlineLevel="0" collapsed="false">
      <c r="A19" s="4" t="s">
        <v>176</v>
      </c>
      <c r="B19" s="5" t="n">
        <v>91</v>
      </c>
      <c r="C19" s="6" t="s">
        <v>177</v>
      </c>
      <c r="D19" s="28" t="s">
        <v>129</v>
      </c>
      <c r="E19" s="29" t="n">
        <v>150</v>
      </c>
      <c r="F19" s="5" t="n">
        <f aca="false">E19-B19</f>
        <v>59</v>
      </c>
      <c r="G19" s="6" t="s">
        <v>178</v>
      </c>
    </row>
    <row r="20" customFormat="false" ht="57.75" hidden="false" customHeight="true" outlineLevel="0" collapsed="false">
      <c r="A20" s="4" t="s">
        <v>179</v>
      </c>
      <c r="B20" s="5" t="n">
        <v>20.08</v>
      </c>
      <c r="C20" s="6" t="s">
        <v>180</v>
      </c>
      <c r="D20" s="30" t="s">
        <v>161</v>
      </c>
      <c r="E20" s="29" t="n">
        <v>20.08</v>
      </c>
      <c r="F20" s="5" t="n">
        <f aca="false">E20-B20</f>
        <v>0</v>
      </c>
      <c r="G20" s="6" t="s">
        <v>162</v>
      </c>
    </row>
    <row r="21" customFormat="false" ht="57.75" hidden="false" customHeight="true" outlineLevel="0" collapsed="false">
      <c r="A21" s="4" t="s">
        <v>181</v>
      </c>
      <c r="B21" s="5" t="n">
        <v>16</v>
      </c>
      <c r="C21" s="6" t="s">
        <v>182</v>
      </c>
      <c r="D21" s="30" t="s">
        <v>161</v>
      </c>
      <c r="E21" s="29" t="n">
        <v>16</v>
      </c>
      <c r="F21" s="5" t="n">
        <f aca="false">E21-B21</f>
        <v>0</v>
      </c>
      <c r="G21" s="6" t="s">
        <v>162</v>
      </c>
    </row>
    <row r="22" customFormat="false" ht="57.75" hidden="false" customHeight="true" outlineLevel="0" collapsed="false">
      <c r="A22" s="4" t="s">
        <v>183</v>
      </c>
      <c r="B22" s="5" t="n">
        <v>21.6</v>
      </c>
      <c r="C22" s="6" t="s">
        <v>184</v>
      </c>
      <c r="D22" s="30" t="s">
        <v>133</v>
      </c>
      <c r="E22" s="29" t="n">
        <v>21.6</v>
      </c>
      <c r="F22" s="5" t="n">
        <f aca="false">E22-B22</f>
        <v>0</v>
      </c>
      <c r="G22" s="6" t="s">
        <v>185</v>
      </c>
    </row>
    <row r="23" customFormat="false" ht="57.75" hidden="false" customHeight="true" outlineLevel="0" collapsed="false">
      <c r="A23" s="4" t="s">
        <v>186</v>
      </c>
      <c r="B23" s="5" t="n">
        <v>115.68</v>
      </c>
      <c r="C23" s="6" t="s">
        <v>187</v>
      </c>
      <c r="D23" s="31" t="s">
        <v>147</v>
      </c>
      <c r="E23" s="29" t="n">
        <v>180</v>
      </c>
      <c r="F23" s="5" t="n">
        <f aca="false">E23-B23</f>
        <v>64.32</v>
      </c>
      <c r="G23" s="6" t="s">
        <v>188</v>
      </c>
    </row>
    <row r="24" customFormat="false" ht="57.75" hidden="false" customHeight="true" outlineLevel="0" collapsed="false">
      <c r="A24" s="4" t="s">
        <v>189</v>
      </c>
      <c r="B24" s="5" t="n">
        <v>19.78</v>
      </c>
      <c r="C24" s="6" t="s">
        <v>190</v>
      </c>
      <c r="D24" s="30" t="s">
        <v>161</v>
      </c>
      <c r="E24" s="29" t="n">
        <v>19.78</v>
      </c>
      <c r="F24" s="5" t="n">
        <f aca="false">E24-B24</f>
        <v>0</v>
      </c>
      <c r="G24" s="6" t="s">
        <v>162</v>
      </c>
    </row>
    <row r="25" customFormat="false" ht="57.75" hidden="false" customHeight="true" outlineLevel="0" collapsed="false">
      <c r="A25" s="4" t="s">
        <v>191</v>
      </c>
      <c r="B25" s="5" t="n">
        <v>0</v>
      </c>
      <c r="C25" s="6" t="s">
        <v>192</v>
      </c>
      <c r="D25" s="28" t="s">
        <v>129</v>
      </c>
      <c r="E25" s="29" t="n">
        <v>0</v>
      </c>
      <c r="F25" s="5" t="n">
        <f aca="false">E25-B25</f>
        <v>0</v>
      </c>
      <c r="G25" s="6" t="s">
        <v>193</v>
      </c>
    </row>
    <row r="26" customFormat="false" ht="57.75" hidden="false" customHeight="true" outlineLevel="0" collapsed="false">
      <c r="A26" s="4" t="s">
        <v>194</v>
      </c>
      <c r="B26" s="5" t="n">
        <v>0</v>
      </c>
      <c r="C26" s="6" t="s">
        <v>195</v>
      </c>
      <c r="D26" s="30" t="s">
        <v>133</v>
      </c>
      <c r="E26" s="29" t="n">
        <v>0</v>
      </c>
      <c r="F26" s="5" t="n">
        <f aca="false">E26-B26</f>
        <v>0</v>
      </c>
      <c r="G26" s="6" t="s">
        <v>196</v>
      </c>
    </row>
    <row r="27" customFormat="false" ht="57.75" hidden="false" customHeight="true" outlineLevel="0" collapsed="false">
      <c r="A27" s="4" t="s">
        <v>197</v>
      </c>
      <c r="B27" s="5" t="n">
        <v>0</v>
      </c>
      <c r="C27" s="6" t="s">
        <v>198</v>
      </c>
      <c r="D27" s="31" t="s">
        <v>151</v>
      </c>
      <c r="E27" s="29" t="n">
        <v>70</v>
      </c>
      <c r="F27" s="5" t="n">
        <f aca="false">E27-B27</f>
        <v>70</v>
      </c>
      <c r="G27" s="6" t="s">
        <v>199</v>
      </c>
    </row>
    <row r="28" customFormat="false" ht="57.75" hidden="false" customHeight="true" outlineLevel="0" collapsed="false">
      <c r="A28" s="4" t="s">
        <v>200</v>
      </c>
      <c r="B28" s="5" t="n">
        <v>21.91</v>
      </c>
      <c r="C28" s="6" t="s">
        <v>201</v>
      </c>
      <c r="D28" s="31" t="s">
        <v>137</v>
      </c>
      <c r="E28" s="29" t="n">
        <v>0</v>
      </c>
      <c r="F28" s="5" t="n">
        <f aca="false">E28-B28</f>
        <v>-21.91</v>
      </c>
      <c r="G28" s="6" t="s">
        <v>202</v>
      </c>
    </row>
    <row r="29" customFormat="false" ht="57.75" hidden="false" customHeight="true" outlineLevel="0" collapsed="false">
      <c r="A29" s="4" t="s">
        <v>203</v>
      </c>
      <c r="B29" s="5" t="n">
        <v>20.52</v>
      </c>
      <c r="C29" s="6" t="s">
        <v>204</v>
      </c>
      <c r="D29" s="28" t="s">
        <v>129</v>
      </c>
      <c r="E29" s="29" t="n">
        <v>2</v>
      </c>
      <c r="F29" s="5" t="n">
        <f aca="false">E29-B29</f>
        <v>-18.52</v>
      </c>
      <c r="G29" s="6" t="s">
        <v>205</v>
      </c>
    </row>
    <row r="30" customFormat="false" ht="57.75" hidden="false" customHeight="true" outlineLevel="0" collapsed="false">
      <c r="A30" s="4" t="s">
        <v>206</v>
      </c>
      <c r="B30" s="5" t="n">
        <v>18.38</v>
      </c>
      <c r="C30" s="6" t="s">
        <v>207</v>
      </c>
      <c r="D30" s="30" t="s">
        <v>161</v>
      </c>
      <c r="E30" s="29" t="n">
        <v>18.38</v>
      </c>
      <c r="F30" s="5" t="n">
        <f aca="false">E30-B30</f>
        <v>0</v>
      </c>
      <c r="G30" s="6" t="s">
        <v>162</v>
      </c>
    </row>
    <row r="31" customFormat="false" ht="15" hidden="false" customHeight="false" outlineLevel="0" collapsed="false">
      <c r="A31" s="2" t="s">
        <v>208</v>
      </c>
      <c r="B31" s="33" t="n">
        <f aca="false">SUM(B4:B30)</f>
        <v>2722.43</v>
      </c>
      <c r="C31" s="34"/>
      <c r="D31" s="34"/>
      <c r="E31" s="33" t="n">
        <f aca="false">SUM(E4:E30)</f>
        <v>4792.06</v>
      </c>
      <c r="F31" s="33" t="n">
        <f aca="false">E31-B31</f>
        <v>2069.63</v>
      </c>
      <c r="G31" s="34"/>
    </row>
    <row r="32" customFormat="false" ht="42" hidden="false" customHeight="true" outlineLevel="0" collapsed="false">
      <c r="A32" s="16" t="s">
        <v>209</v>
      </c>
      <c r="B32" s="35" t="n">
        <f aca="false">B31-B10</f>
        <v>562.43</v>
      </c>
      <c r="C32" s="18" t="s">
        <v>210</v>
      </c>
      <c r="D32" s="36"/>
      <c r="E32" s="35" t="n">
        <f aca="false">E31-E10</f>
        <v>930.43</v>
      </c>
      <c r="F32" s="35" t="n">
        <f aca="false">E32-B32</f>
        <v>368</v>
      </c>
      <c r="G32" s="36"/>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3" min="3" style="0" width="58"/>
    <col collapsed="false" customWidth="true" hidden="false" outlineLevel="0" max="4" min="4" style="0" width="14"/>
    <col collapsed="false" customWidth="true" hidden="false" outlineLevel="0" max="5" min="5" style="0" width="13"/>
    <col collapsed="false" customWidth="true" hidden="false" outlineLevel="0" max="6" min="6" style="0" width="52"/>
  </cols>
  <sheetData>
    <row r="1" customFormat="false" ht="25.5" hidden="false" customHeight="true" outlineLevel="0" collapsed="false">
      <c r="A1" s="1" t="s">
        <v>211</v>
      </c>
      <c r="B1" s="1"/>
      <c r="C1" s="1"/>
      <c r="D1" s="1"/>
      <c r="E1" s="1"/>
      <c r="F1" s="1"/>
    </row>
    <row r="3" customFormat="false" ht="31.5" hidden="false" customHeight="true" outlineLevel="0" collapsed="false">
      <c r="A3" s="27" t="s">
        <v>212</v>
      </c>
      <c r="B3" s="27" t="s">
        <v>213</v>
      </c>
      <c r="C3" s="27" t="s">
        <v>214</v>
      </c>
      <c r="D3" s="27" t="s">
        <v>215</v>
      </c>
      <c r="E3" s="27" t="s">
        <v>216</v>
      </c>
      <c r="F3" s="27" t="s">
        <v>217</v>
      </c>
    </row>
    <row r="4" customFormat="false" ht="55.5" hidden="false" customHeight="true" outlineLevel="0" collapsed="false">
      <c r="A4" s="4" t="s">
        <v>218</v>
      </c>
      <c r="B4" s="37" t="s">
        <v>219</v>
      </c>
      <c r="C4" s="6" t="s">
        <v>220</v>
      </c>
      <c r="D4" s="32" t="n">
        <f aca="false">'Consumption Model'!B59</f>
        <v>60.642</v>
      </c>
      <c r="E4" s="31" t="s">
        <v>147</v>
      </c>
      <c r="F4" s="6" t="s">
        <v>221</v>
      </c>
    </row>
    <row r="5" customFormat="false" ht="55.5" hidden="false" customHeight="true" outlineLevel="0" collapsed="false">
      <c r="A5" s="4" t="s">
        <v>222</v>
      </c>
      <c r="B5" s="37" t="s">
        <v>223</v>
      </c>
      <c r="C5" s="6" t="s">
        <v>224</v>
      </c>
      <c r="D5" s="29" t="n">
        <v>150</v>
      </c>
      <c r="E5" s="28" t="s">
        <v>225</v>
      </c>
      <c r="F5" s="6" t="s">
        <v>226</v>
      </c>
    </row>
    <row r="6" customFormat="false" ht="55.5" hidden="false" customHeight="true" outlineLevel="0" collapsed="false">
      <c r="A6" s="4" t="s">
        <v>227</v>
      </c>
      <c r="B6" s="37" t="s">
        <v>228</v>
      </c>
      <c r="C6" s="6" t="s">
        <v>229</v>
      </c>
      <c r="D6" s="29" t="n">
        <v>5</v>
      </c>
      <c r="E6" s="28" t="s">
        <v>225</v>
      </c>
      <c r="F6" s="6" t="s">
        <v>230</v>
      </c>
    </row>
    <row r="7" customFormat="false" ht="55.5" hidden="false" customHeight="true" outlineLevel="0" collapsed="false">
      <c r="A7" s="4" t="s">
        <v>231</v>
      </c>
      <c r="B7" s="37" t="s">
        <v>232</v>
      </c>
      <c r="C7" s="6" t="s">
        <v>233</v>
      </c>
      <c r="D7" s="29" t="n">
        <v>39</v>
      </c>
      <c r="E7" s="31" t="s">
        <v>147</v>
      </c>
      <c r="F7" s="6" t="s">
        <v>234</v>
      </c>
    </row>
    <row r="8" customFormat="false" ht="55.5" hidden="false" customHeight="true" outlineLevel="0" collapsed="false">
      <c r="A8" s="4" t="s">
        <v>235</v>
      </c>
      <c r="B8" s="37" t="s">
        <v>236</v>
      </c>
      <c r="C8" s="6" t="s">
        <v>237</v>
      </c>
      <c r="D8" s="29" t="n">
        <v>263</v>
      </c>
      <c r="E8" s="31" t="s">
        <v>147</v>
      </c>
      <c r="F8" s="6" t="s">
        <v>238</v>
      </c>
    </row>
    <row r="9" customFormat="false" ht="55.5" hidden="false" customHeight="true" outlineLevel="0" collapsed="false">
      <c r="A9" s="4" t="s">
        <v>239</v>
      </c>
      <c r="B9" s="37" t="s">
        <v>240</v>
      </c>
      <c r="C9" s="6" t="s">
        <v>241</v>
      </c>
      <c r="D9" s="29" t="n">
        <v>80</v>
      </c>
      <c r="E9" s="28" t="s">
        <v>129</v>
      </c>
      <c r="F9" s="6" t="s">
        <v>242</v>
      </c>
    </row>
    <row r="10" customFormat="false" ht="55.5" hidden="false" customHeight="true" outlineLevel="0" collapsed="false">
      <c r="A10" s="4" t="s">
        <v>243</v>
      </c>
      <c r="B10" s="37" t="s">
        <v>244</v>
      </c>
      <c r="C10" s="6" t="s">
        <v>245</v>
      </c>
      <c r="D10" s="29" t="n">
        <v>50</v>
      </c>
      <c r="E10" s="28" t="s">
        <v>129</v>
      </c>
      <c r="F10" s="6" t="s">
        <v>246</v>
      </c>
    </row>
    <row r="11" customFormat="false" ht="55.5" hidden="false" customHeight="true" outlineLevel="0" collapsed="false">
      <c r="A11" s="4" t="s">
        <v>247</v>
      </c>
      <c r="B11" s="37" t="s">
        <v>248</v>
      </c>
      <c r="C11" s="6" t="s">
        <v>249</v>
      </c>
      <c r="D11" s="29" t="n">
        <v>35</v>
      </c>
      <c r="E11" s="28" t="s">
        <v>129</v>
      </c>
      <c r="F11" s="6" t="s">
        <v>246</v>
      </c>
    </row>
    <row r="12" customFormat="false" ht="55.5" hidden="false" customHeight="true" outlineLevel="0" collapsed="false">
      <c r="A12" s="4" t="s">
        <v>250</v>
      </c>
      <c r="B12" s="37" t="s">
        <v>251</v>
      </c>
      <c r="C12" s="6" t="s">
        <v>252</v>
      </c>
      <c r="D12" s="29" t="n">
        <v>30</v>
      </c>
      <c r="E12" s="28" t="s">
        <v>129</v>
      </c>
      <c r="F12" s="6" t="s">
        <v>246</v>
      </c>
    </row>
    <row r="13" customFormat="false" ht="55.5" hidden="false" customHeight="true" outlineLevel="0" collapsed="false">
      <c r="A13" s="4" t="s">
        <v>253</v>
      </c>
      <c r="B13" s="37" t="s">
        <v>254</v>
      </c>
      <c r="C13" s="6" t="s">
        <v>255</v>
      </c>
      <c r="D13" s="29" t="n">
        <v>20</v>
      </c>
      <c r="E13" s="28" t="s">
        <v>129</v>
      </c>
      <c r="F13" s="6" t="s">
        <v>246</v>
      </c>
    </row>
    <row r="14" customFormat="false" ht="55.5" hidden="false" customHeight="true" outlineLevel="0" collapsed="false">
      <c r="A14" s="4" t="s">
        <v>256</v>
      </c>
      <c r="B14" s="37" t="s">
        <v>257</v>
      </c>
      <c r="C14" s="6" t="s">
        <v>258</v>
      </c>
      <c r="D14" s="29" t="n">
        <v>15</v>
      </c>
      <c r="E14" s="28" t="s">
        <v>129</v>
      </c>
      <c r="F14" s="6" t="s">
        <v>259</v>
      </c>
    </row>
    <row r="15" customFormat="false" ht="55.5" hidden="false" customHeight="true" outlineLevel="0" collapsed="false">
      <c r="A15" s="4" t="s">
        <v>260</v>
      </c>
      <c r="B15" s="37" t="s">
        <v>261</v>
      </c>
      <c r="C15" s="6" t="s">
        <v>262</v>
      </c>
      <c r="D15" s="29" t="n">
        <v>30</v>
      </c>
      <c r="E15" s="28" t="s">
        <v>129</v>
      </c>
      <c r="F15" s="6" t="s">
        <v>263</v>
      </c>
    </row>
    <row r="16" customFormat="false" ht="55.5" hidden="false" customHeight="true" outlineLevel="0" collapsed="false">
      <c r="A16" s="4" t="s">
        <v>264</v>
      </c>
      <c r="B16" s="37" t="s">
        <v>265</v>
      </c>
      <c r="C16" s="6" t="s">
        <v>266</v>
      </c>
      <c r="D16" s="29" t="n">
        <v>3</v>
      </c>
      <c r="E16" s="28" t="s">
        <v>133</v>
      </c>
      <c r="F16" s="6" t="s">
        <v>267</v>
      </c>
    </row>
    <row r="17" customFormat="false" ht="55.5" hidden="false" customHeight="true" outlineLevel="0" collapsed="false">
      <c r="A17" s="4" t="s">
        <v>268</v>
      </c>
      <c r="B17" s="37" t="s">
        <v>269</v>
      </c>
      <c r="C17" s="6" t="s">
        <v>270</v>
      </c>
      <c r="D17" s="29" t="n">
        <v>0</v>
      </c>
      <c r="E17" s="28" t="s">
        <v>225</v>
      </c>
      <c r="F17" s="6" t="s">
        <v>271</v>
      </c>
    </row>
    <row r="18" customFormat="false" ht="15" hidden="false" customHeight="false" outlineLevel="0" collapsed="false">
      <c r="A18" s="2" t="s">
        <v>272</v>
      </c>
      <c r="B18" s="34"/>
      <c r="C18" s="34"/>
      <c r="D18" s="33" t="n">
        <f aca="false">SUM(D4:D17)</f>
        <v>780.642</v>
      </c>
      <c r="E18" s="34"/>
      <c r="F18" s="34"/>
    </row>
    <row r="19" customFormat="false" ht="39.75" hidden="false" customHeight="true" outlineLevel="0" collapsed="false">
      <c r="A19" s="16" t="s">
        <v>273</v>
      </c>
      <c r="B19" s="36"/>
      <c r="C19" s="18" t="s">
        <v>274</v>
      </c>
      <c r="D19" s="35" t="n">
        <f aca="false">D18-D4</f>
        <v>720</v>
      </c>
      <c r="E19" s="36"/>
      <c r="F19" s="36"/>
    </row>
    <row r="21" customFormat="false" ht="15" hidden="false" customHeight="false" outlineLevel="0" collapsed="false">
      <c r="A21" s="10" t="s">
        <v>275</v>
      </c>
      <c r="B21" s="10"/>
      <c r="C21" s="10"/>
      <c r="D21" s="10"/>
      <c r="E21" s="10"/>
      <c r="F21" s="10"/>
    </row>
  </sheetData>
  <mergeCells count="2">
    <mergeCell ref="A1:F1"/>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18"/>
    <col collapsed="false" customWidth="true" hidden="false" outlineLevel="0" max="4" min="4" style="0" width="22"/>
    <col collapsed="false" customWidth="true" hidden="false" outlineLevel="0" max="5" min="5" style="0" width="62"/>
  </cols>
  <sheetData>
    <row r="1" customFormat="false" ht="25.5" hidden="false" customHeight="true" outlineLevel="0" collapsed="false">
      <c r="A1" s="1" t="s">
        <v>276</v>
      </c>
      <c r="B1" s="1"/>
      <c r="C1" s="1"/>
      <c r="D1" s="1"/>
      <c r="E1" s="1"/>
    </row>
    <row r="3" customFormat="false" ht="31.5" hidden="false" customHeight="true" outlineLevel="0" collapsed="false">
      <c r="A3" s="27" t="s">
        <v>277</v>
      </c>
      <c r="B3" s="27" t="s">
        <v>278</v>
      </c>
      <c r="C3" s="27" t="s">
        <v>279</v>
      </c>
      <c r="D3" s="27" t="s">
        <v>280</v>
      </c>
      <c r="E3" s="27" t="s">
        <v>281</v>
      </c>
    </row>
    <row r="4" customFormat="false" ht="45.75" hidden="false" customHeight="true" outlineLevel="0" collapsed="false">
      <c r="A4" s="4" t="s">
        <v>282</v>
      </c>
      <c r="B4" s="24" t="n">
        <f aca="false">'Consumption Model'!B51*0.35</f>
        <v>2002.203</v>
      </c>
      <c r="C4" s="24" t="n">
        <f aca="false">'Consumption Model'!B53</f>
        <v>3861.63</v>
      </c>
      <c r="D4" s="24" t="n">
        <f aca="false">'Consumption Model'!B49</f>
        <v>9676.8</v>
      </c>
      <c r="E4" s="6" t="s">
        <v>283</v>
      </c>
    </row>
    <row r="5" customFormat="false" ht="45.75" hidden="false" customHeight="true" outlineLevel="0" collapsed="false">
      <c r="A5" s="4" t="s">
        <v>284</v>
      </c>
      <c r="B5" s="24" t="n">
        <f aca="false">'Consumption Model'!B59*0.5</f>
        <v>30.321</v>
      </c>
      <c r="C5" s="24" t="n">
        <f aca="false">'Consumption Model'!B59</f>
        <v>60.642</v>
      </c>
      <c r="D5" s="24" t="n">
        <f aca="false">'Consumption Model'!B58</f>
        <v>952.506</v>
      </c>
      <c r="E5" s="6" t="s">
        <v>285</v>
      </c>
    </row>
    <row r="6" customFormat="false" ht="45.75" hidden="false" customHeight="true" outlineLevel="0" collapsed="false">
      <c r="A6" s="4" t="s">
        <v>286</v>
      </c>
      <c r="B6" s="24" t="n">
        <f aca="false">'Line Review'!E32*0.85</f>
        <v>790.8655</v>
      </c>
      <c r="C6" s="24" t="n">
        <f aca="false">'Line Review'!E32</f>
        <v>930.43</v>
      </c>
      <c r="D6" s="24" t="n">
        <f aca="false">'Line Review'!E32*1.25</f>
        <v>1163.0375</v>
      </c>
      <c r="E6" s="6" t="s">
        <v>287</v>
      </c>
    </row>
    <row r="7" customFormat="false" ht="45.75" hidden="false" customHeight="true" outlineLevel="0" collapsed="false">
      <c r="A7" s="4" t="s">
        <v>288</v>
      </c>
      <c r="B7" s="24" t="n">
        <f aca="false">'Missing Services'!D19*0.3</f>
        <v>216</v>
      </c>
      <c r="C7" s="24" t="n">
        <f aca="false">'Missing Services'!D19</f>
        <v>720</v>
      </c>
      <c r="D7" s="24" t="n">
        <f aca="false">'Missing Services'!D19*1.3</f>
        <v>936</v>
      </c>
      <c r="E7" s="6" t="s">
        <v>289</v>
      </c>
    </row>
    <row r="8" customFormat="false" ht="45.75" hidden="false" customHeight="true" outlineLevel="0" collapsed="false">
      <c r="A8" s="16" t="s">
        <v>290</v>
      </c>
      <c r="B8" s="25" t="n">
        <f aca="false">SUM(B4:B7)</f>
        <v>3039.3895</v>
      </c>
      <c r="C8" s="25" t="n">
        <f aca="false">SUM(C4:C7)</f>
        <v>5572.702</v>
      </c>
      <c r="D8" s="25" t="n">
        <f aca="false">SUM(D4:D7)</f>
        <v>12728.3435</v>
      </c>
      <c r="E8" s="18"/>
    </row>
    <row r="9" customFormat="false" ht="45.75" hidden="false" customHeight="true" outlineLevel="0" collapsed="false">
      <c r="A9" s="16" t="s">
        <v>291</v>
      </c>
      <c r="B9" s="25" t="n">
        <f aca="false">B8*12</f>
        <v>36472.674</v>
      </c>
      <c r="C9" s="25" t="n">
        <f aca="false">C8*12</f>
        <v>66872.424</v>
      </c>
      <c r="D9" s="25" t="n">
        <f aca="false">D8*12</f>
        <v>152740.122</v>
      </c>
      <c r="E9" s="18"/>
    </row>
    <row r="11" customFormat="false" ht="15" hidden="false" customHeight="false" outlineLevel="0" collapsed="false">
      <c r="A11" s="38" t="s">
        <v>27</v>
      </c>
      <c r="B11" s="39" t="n">
        <v>32669.16</v>
      </c>
      <c r="C11" s="39" t="n">
        <v>32669.16</v>
      </c>
      <c r="D11" s="39" t="n">
        <v>32669.16</v>
      </c>
      <c r="E11" s="21" t="s">
        <v>292</v>
      </c>
    </row>
    <row r="12" customFormat="false" ht="22.35" hidden="false" customHeight="false" outlineLevel="0" collapsed="false">
      <c r="A12" s="38" t="s">
        <v>293</v>
      </c>
      <c r="B12" s="40" t="n">
        <f aca="false">B9/B11</f>
        <v>1.11642521570803</v>
      </c>
      <c r="C12" s="40" t="n">
        <f aca="false">C9/C11</f>
        <v>2.04695878314594</v>
      </c>
      <c r="D12" s="40" t="n">
        <f aca="false">D9/D11</f>
        <v>4.67536116631098</v>
      </c>
      <c r="E12" s="21" t="s">
        <v>294</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2"/>
    <col collapsed="false" customWidth="true" hidden="false" outlineLevel="0" max="3" min="3" style="0" width="92"/>
  </cols>
  <sheetData>
    <row r="1" customFormat="false" ht="25.5" hidden="false" customHeight="true" outlineLevel="0" collapsed="false">
      <c r="A1" s="1" t="s">
        <v>295</v>
      </c>
      <c r="B1" s="1"/>
      <c r="C1" s="1"/>
    </row>
    <row r="3" customFormat="false" ht="31.5" hidden="false" customHeight="true" outlineLevel="0" collapsed="false">
      <c r="A3" s="27" t="s">
        <v>1</v>
      </c>
      <c r="B3" s="27" t="s">
        <v>296</v>
      </c>
      <c r="C3" s="27" t="s">
        <v>297</v>
      </c>
    </row>
    <row r="4" customFormat="false" ht="49.5" hidden="false" customHeight="true" outlineLevel="0" collapsed="false">
      <c r="A4" s="3" t="n">
        <v>1</v>
      </c>
      <c r="B4" s="4" t="s">
        <v>298</v>
      </c>
      <c r="C4" s="6" t="s">
        <v>299</v>
      </c>
    </row>
    <row r="5" customFormat="false" ht="49.5" hidden="false" customHeight="true" outlineLevel="0" collapsed="false">
      <c r="A5" s="3" t="n">
        <v>2</v>
      </c>
      <c r="B5" s="4" t="s">
        <v>300</v>
      </c>
      <c r="C5" s="6" t="s">
        <v>301</v>
      </c>
    </row>
    <row r="6" customFormat="false" ht="49.5" hidden="false" customHeight="true" outlineLevel="0" collapsed="false">
      <c r="A6" s="3" t="n">
        <v>3</v>
      </c>
      <c r="B6" s="4" t="s">
        <v>302</v>
      </c>
      <c r="C6" s="6" t="s">
        <v>303</v>
      </c>
    </row>
    <row r="7" customFormat="false" ht="49.5" hidden="false" customHeight="true" outlineLevel="0" collapsed="false">
      <c r="A7" s="3" t="n">
        <v>4</v>
      </c>
      <c r="B7" s="4" t="s">
        <v>304</v>
      </c>
      <c r="C7" s="6" t="s">
        <v>305</v>
      </c>
    </row>
    <row r="8" customFormat="false" ht="49.5" hidden="false" customHeight="true" outlineLevel="0" collapsed="false">
      <c r="A8" s="3" t="n">
        <v>5</v>
      </c>
      <c r="B8" s="4" t="s">
        <v>306</v>
      </c>
      <c r="C8" s="6" t="s">
        <v>307</v>
      </c>
    </row>
    <row r="9" customFormat="false" ht="49.5" hidden="false" customHeight="true" outlineLevel="0" collapsed="false">
      <c r="A9" s="3" t="n">
        <v>6</v>
      </c>
      <c r="B9" s="4" t="s">
        <v>308</v>
      </c>
      <c r="C9" s="6" t="s">
        <v>309</v>
      </c>
    </row>
    <row r="10" customFormat="false" ht="49.5" hidden="false" customHeight="true" outlineLevel="0" collapsed="false">
      <c r="A10" s="3" t="n">
        <v>7</v>
      </c>
      <c r="B10" s="4" t="s">
        <v>310</v>
      </c>
      <c r="C10" s="6" t="s">
        <v>311</v>
      </c>
    </row>
    <row r="11" customFormat="false" ht="49.5" hidden="false" customHeight="true" outlineLevel="0" collapsed="false">
      <c r="A11" s="3" t="n">
        <v>8</v>
      </c>
      <c r="B11" s="4" t="s">
        <v>312</v>
      </c>
      <c r="C11" s="6" t="s">
        <v>313</v>
      </c>
    </row>
    <row r="12" customFormat="false" ht="49.5" hidden="false" customHeight="true" outlineLevel="0" collapsed="false">
      <c r="A12" s="3" t="n">
        <v>9</v>
      </c>
      <c r="B12" s="4" t="s">
        <v>314</v>
      </c>
      <c r="C12" s="6" t="s">
        <v>315</v>
      </c>
    </row>
    <row r="13" customFormat="false" ht="49.5" hidden="false" customHeight="true" outlineLevel="0" collapsed="false">
      <c r="A13" s="3" t="n">
        <v>10</v>
      </c>
      <c r="B13" s="4" t="s">
        <v>316</v>
      </c>
      <c r="C13" s="6" t="s">
        <v>317</v>
      </c>
    </row>
    <row r="14" customFormat="false" ht="49.5" hidden="false" customHeight="true" outlineLevel="0" collapsed="false">
      <c r="A14" s="3" t="n">
        <v>11</v>
      </c>
      <c r="B14" s="4" t="s">
        <v>318</v>
      </c>
      <c r="C14" s="6" t="s">
        <v>319</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2026-09-24T12:43:44Z</dcterms:created>
  <dc:creator>openpyxl</dc:creator>
  <dc:description/>
  <dc:language>en-US</dc:language>
  <cp:lastModifiedBy/>
  <dcterms:modified xsi:type="dcterms:W3CDTF">2026-09-24T12:43:44Z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